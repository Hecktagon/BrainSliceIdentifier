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1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2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Volumes/DARLA/"/>
    </mc:Choice>
  </mc:AlternateContent>
  <xr:revisionPtr revIDLastSave="0" documentId="8_{10DD8DB6-4FEF-3140-87B0-428219EA8529}" xr6:coauthVersionLast="47" xr6:coauthVersionMax="47" xr10:uidLastSave="{00000000-0000-0000-0000-000000000000}"/>
  <bookViews>
    <workbookView xWindow="0" yWindow="760" windowWidth="34560" windowHeight="2018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_xlchart.v1.0" hidden="1">Sheet5!$AA$2:$AA$28</definedName>
    <definedName name="_xlchart.v1.1" hidden="1">Sheet5!$Z$2:$Z$28</definedName>
    <definedName name="_xlchart.v1.10" hidden="1">Sheet5!$V$2:$V$30</definedName>
    <definedName name="_xlchart.v1.11" hidden="1">Sheet5!$W$2:$W$30</definedName>
    <definedName name="_xlchart.v1.12" hidden="1">Sheet5!$AA$2:$AA$28</definedName>
    <definedName name="_xlchart.v1.13" hidden="1">Sheet5!$Z$2:$Z$28</definedName>
    <definedName name="_xlchart.v1.2" hidden="1">Sheet5!$AA$2:$AA$28</definedName>
    <definedName name="_xlchart.v1.3" hidden="1">Sheet5!$Z$2:$Z$28</definedName>
    <definedName name="_xlchart.v1.4" hidden="1">Sheet5!$AA$2:$AA$28</definedName>
    <definedName name="_xlchart.v1.5" hidden="1">Sheet5!$Z$2:$Z$28</definedName>
    <definedName name="_xlchart.v1.6" hidden="1">Sheet5!$V$2:$V$30</definedName>
    <definedName name="_xlchart.v1.7" hidden="1">Sheet5!$W$2:$W$30</definedName>
    <definedName name="_xlchart.v1.8" hidden="1">Sheet5!$C$31:$C$53</definedName>
    <definedName name="_xlchart.v1.9" hidden="1">Sheet5!$D$31:$D$53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5" l="1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" i="5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33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31" i="5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3" i="4"/>
  <c r="I127" i="3"/>
  <c r="I126" i="3"/>
  <c r="I113" i="3"/>
  <c r="I112" i="3"/>
  <c r="I99" i="3"/>
  <c r="I98" i="3"/>
  <c r="H127" i="3"/>
  <c r="H126" i="3"/>
  <c r="H113" i="3"/>
  <c r="H112" i="3"/>
  <c r="H99" i="3"/>
  <c r="H98" i="3"/>
  <c r="I32" i="3"/>
  <c r="I31" i="3"/>
  <c r="I20" i="3"/>
  <c r="I19" i="3"/>
  <c r="I8" i="3"/>
  <c r="I7" i="3"/>
  <c r="H31" i="3"/>
  <c r="H32" i="3"/>
  <c r="H20" i="3"/>
  <c r="H19" i="3"/>
  <c r="H8" i="3"/>
  <c r="H7" i="3"/>
  <c r="I75" i="3"/>
  <c r="I74" i="3"/>
  <c r="I63" i="3"/>
  <c r="I62" i="3"/>
  <c r="H75" i="3"/>
  <c r="H74" i="3"/>
  <c r="H63" i="3"/>
  <c r="H62" i="3"/>
  <c r="I136" i="3"/>
  <c r="I137" i="3"/>
  <c r="I138" i="3"/>
  <c r="I139" i="3"/>
  <c r="I140" i="3"/>
  <c r="I141" i="3"/>
  <c r="I142" i="3"/>
  <c r="I143" i="3"/>
  <c r="I135" i="3"/>
  <c r="H136" i="3"/>
  <c r="H137" i="3"/>
  <c r="H138" i="3"/>
  <c r="H139" i="3"/>
  <c r="H140" i="3"/>
  <c r="H141" i="3"/>
  <c r="H142" i="3"/>
  <c r="H143" i="3"/>
  <c r="H135" i="3"/>
  <c r="E127" i="3"/>
  <c r="E126" i="3"/>
  <c r="E113" i="3"/>
  <c r="E112" i="3"/>
  <c r="E99" i="3"/>
  <c r="E98" i="3"/>
  <c r="F126" i="3"/>
  <c r="F127" i="3"/>
  <c r="F113" i="3"/>
  <c r="F112" i="3"/>
  <c r="F99" i="3"/>
  <c r="F98" i="3"/>
  <c r="E75" i="3"/>
  <c r="E74" i="3"/>
  <c r="E63" i="3"/>
  <c r="E62" i="3"/>
  <c r="F75" i="3"/>
  <c r="F74" i="3"/>
  <c r="F63" i="3"/>
  <c r="F62" i="3"/>
  <c r="E32" i="3"/>
  <c r="E31" i="3"/>
  <c r="E20" i="3"/>
  <c r="E19" i="3"/>
  <c r="E8" i="3"/>
  <c r="E7" i="3"/>
  <c r="F32" i="3"/>
  <c r="F31" i="3"/>
  <c r="F20" i="3"/>
  <c r="F19" i="3"/>
  <c r="F8" i="3"/>
  <c r="F7" i="3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" i="2"/>
  <c r="AA36" i="2"/>
  <c r="V3" i="2" a="1"/>
  <c r="V3" i="2" s="1"/>
  <c r="U3" i="2" a="1"/>
  <c r="U3" i="2" s="1"/>
  <c r="S3" i="2" a="1"/>
  <c r="S3" i="2" s="1"/>
  <c r="R3" i="2" a="1"/>
  <c r="R3" i="2" s="1"/>
  <c r="I3" i="2" a="1"/>
  <c r="I3" i="2" s="1"/>
  <c r="H3" i="2" a="1"/>
  <c r="H3" i="2" s="1"/>
  <c r="Q38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" i="2"/>
  <c r="D36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D113" i="1"/>
  <c r="P110" i="1" s="1"/>
  <c r="E110" i="1"/>
  <c r="O109" i="1"/>
  <c r="E109" i="1"/>
  <c r="O108" i="1"/>
  <c r="E108" i="1"/>
  <c r="O107" i="1"/>
  <c r="E107" i="1"/>
  <c r="O106" i="1"/>
  <c r="E106" i="1"/>
  <c r="O105" i="1"/>
  <c r="E105" i="1"/>
  <c r="O104" i="1"/>
  <c r="E104" i="1"/>
  <c r="O103" i="1"/>
  <c r="E103" i="1"/>
  <c r="O102" i="1"/>
  <c r="E102" i="1"/>
  <c r="O101" i="1"/>
  <c r="E101" i="1"/>
  <c r="O97" i="1"/>
  <c r="E97" i="1"/>
  <c r="O96" i="1"/>
  <c r="E96" i="1"/>
  <c r="O95" i="1"/>
  <c r="E95" i="1"/>
  <c r="O94" i="1"/>
  <c r="E94" i="1"/>
  <c r="O93" i="1"/>
  <c r="E93" i="1"/>
  <c r="O92" i="1"/>
  <c r="E92" i="1"/>
  <c r="O91" i="1"/>
  <c r="E91" i="1"/>
  <c r="O90" i="1"/>
  <c r="E90" i="1"/>
  <c r="O89" i="1"/>
  <c r="E89" i="1"/>
  <c r="O88" i="1"/>
  <c r="E88" i="1"/>
  <c r="O84" i="1"/>
  <c r="E84" i="1"/>
  <c r="O83" i="1"/>
  <c r="E83" i="1"/>
  <c r="O82" i="1"/>
  <c r="E82" i="1"/>
  <c r="O81" i="1"/>
  <c r="E81" i="1"/>
  <c r="O80" i="1"/>
  <c r="E80" i="1"/>
  <c r="O79" i="1"/>
  <c r="E79" i="1"/>
  <c r="O78" i="1"/>
  <c r="E78" i="1"/>
  <c r="O77" i="1"/>
  <c r="E77" i="1"/>
  <c r="O76" i="1"/>
  <c r="E76" i="1"/>
  <c r="O75" i="1"/>
  <c r="E75" i="1"/>
  <c r="O71" i="1"/>
  <c r="E71" i="1"/>
  <c r="O70" i="1"/>
  <c r="E70" i="1"/>
  <c r="O69" i="1"/>
  <c r="E69" i="1"/>
  <c r="O68" i="1"/>
  <c r="E68" i="1"/>
  <c r="E67" i="1"/>
  <c r="E66" i="1"/>
  <c r="E65" i="1"/>
  <c r="E64" i="1"/>
  <c r="E63" i="1"/>
  <c r="E62" i="1"/>
  <c r="E61" i="1"/>
  <c r="E60" i="1"/>
  <c r="D57" i="1"/>
  <c r="F53" i="1" s="1"/>
  <c r="O54" i="1"/>
  <c r="E54" i="1"/>
  <c r="O53" i="1"/>
  <c r="E53" i="1"/>
  <c r="O52" i="1"/>
  <c r="E52" i="1"/>
  <c r="O51" i="1"/>
  <c r="E51" i="1"/>
  <c r="O50" i="1"/>
  <c r="E50" i="1"/>
  <c r="O49" i="1"/>
  <c r="E49" i="1"/>
  <c r="O48" i="1"/>
  <c r="E48" i="1"/>
  <c r="O47" i="1"/>
  <c r="E47" i="1"/>
  <c r="O46" i="1"/>
  <c r="E46" i="1"/>
  <c r="O45" i="1"/>
  <c r="E45" i="1"/>
  <c r="O41" i="1"/>
  <c r="E41" i="1"/>
  <c r="O40" i="1"/>
  <c r="E40" i="1"/>
  <c r="O39" i="1"/>
  <c r="E39" i="1"/>
  <c r="O38" i="1"/>
  <c r="E38" i="1"/>
  <c r="O37" i="1"/>
  <c r="E37" i="1"/>
  <c r="O36" i="1"/>
  <c r="E36" i="1"/>
  <c r="O35" i="1"/>
  <c r="E35" i="1"/>
  <c r="O34" i="1"/>
  <c r="E34" i="1"/>
  <c r="O33" i="1"/>
  <c r="E33" i="1"/>
  <c r="O32" i="1"/>
  <c r="E32" i="1"/>
  <c r="O28" i="1"/>
  <c r="E28" i="1"/>
  <c r="O27" i="1"/>
  <c r="E27" i="1"/>
  <c r="O26" i="1"/>
  <c r="E26" i="1"/>
  <c r="O25" i="1"/>
  <c r="E25" i="1"/>
  <c r="O24" i="1"/>
  <c r="E24" i="1"/>
  <c r="O23" i="1"/>
  <c r="E23" i="1"/>
  <c r="O22" i="1"/>
  <c r="E22" i="1"/>
  <c r="O21" i="1"/>
  <c r="E21" i="1"/>
  <c r="O20" i="1"/>
  <c r="E20" i="1"/>
  <c r="O19" i="1"/>
  <c r="E19" i="1"/>
  <c r="O18" i="1"/>
  <c r="E18" i="1"/>
  <c r="O17" i="1"/>
  <c r="E17" i="1"/>
  <c r="E13" i="1"/>
  <c r="E12" i="1"/>
  <c r="E11" i="1"/>
  <c r="E10" i="1"/>
  <c r="E9" i="1"/>
  <c r="E8" i="1"/>
  <c r="E7" i="1"/>
  <c r="E6" i="1"/>
  <c r="E5" i="1"/>
  <c r="E4" i="1"/>
  <c r="E3" i="1"/>
  <c r="E2" i="1"/>
  <c r="O110" i="1" l="1"/>
  <c r="F33" i="1"/>
  <c r="P26" i="1"/>
  <c r="F37" i="1"/>
  <c r="F13" i="1"/>
  <c r="F20" i="1"/>
  <c r="F51" i="1"/>
  <c r="P27" i="1"/>
  <c r="P34" i="1"/>
  <c r="F8" i="1"/>
  <c r="F45" i="1"/>
  <c r="F25" i="1"/>
  <c r="P52" i="1"/>
  <c r="F32" i="1"/>
  <c r="P35" i="1"/>
  <c r="F5" i="1"/>
  <c r="P40" i="1"/>
  <c r="P47" i="1"/>
  <c r="F24" i="1"/>
  <c r="P21" i="1"/>
  <c r="F3" i="1"/>
  <c r="F10" i="1"/>
  <c r="P39" i="1"/>
  <c r="F46" i="1"/>
  <c r="F38" i="1"/>
  <c r="P17" i="1"/>
  <c r="P48" i="1"/>
  <c r="F19" i="1"/>
  <c r="P22" i="1"/>
  <c r="F50" i="1"/>
  <c r="P53" i="1"/>
  <c r="P69" i="1"/>
  <c r="F75" i="1"/>
  <c r="P77" i="1"/>
  <c r="F80" i="1"/>
  <c r="P82" i="1"/>
  <c r="F88" i="1"/>
  <c r="P90" i="1"/>
  <c r="F93" i="1"/>
  <c r="P95" i="1"/>
  <c r="F101" i="1"/>
  <c r="P103" i="1"/>
  <c r="F106" i="1"/>
  <c r="P108" i="1"/>
  <c r="F6" i="1"/>
  <c r="F11" i="1"/>
  <c r="F18" i="1"/>
  <c r="P20" i="1"/>
  <c r="F23" i="1"/>
  <c r="P25" i="1"/>
  <c r="F28" i="1"/>
  <c r="P33" i="1"/>
  <c r="F36" i="1"/>
  <c r="P38" i="1"/>
  <c r="F41" i="1"/>
  <c r="P46" i="1"/>
  <c r="F49" i="1"/>
  <c r="P51" i="1"/>
  <c r="F54" i="1"/>
  <c r="F70" i="1"/>
  <c r="P75" i="1"/>
  <c r="F78" i="1"/>
  <c r="P80" i="1"/>
  <c r="F83" i="1"/>
  <c r="P88" i="1"/>
  <c r="F91" i="1"/>
  <c r="P93" i="1"/>
  <c r="F96" i="1"/>
  <c r="P101" i="1"/>
  <c r="F104" i="1"/>
  <c r="P106" i="1"/>
  <c r="F109" i="1"/>
  <c r="F2" i="1"/>
  <c r="F7" i="1"/>
  <c r="F12" i="1"/>
  <c r="P18" i="1"/>
  <c r="F21" i="1"/>
  <c r="P23" i="1"/>
  <c r="F26" i="1"/>
  <c r="P28" i="1"/>
  <c r="F34" i="1"/>
  <c r="P36" i="1"/>
  <c r="F39" i="1"/>
  <c r="P41" i="1"/>
  <c r="F47" i="1"/>
  <c r="P49" i="1"/>
  <c r="F52" i="1"/>
  <c r="P54" i="1"/>
  <c r="F68" i="1"/>
  <c r="P70" i="1"/>
  <c r="F76" i="1"/>
  <c r="P78" i="1"/>
  <c r="F81" i="1"/>
  <c r="P83" i="1"/>
  <c r="F89" i="1"/>
  <c r="P91" i="1"/>
  <c r="F94" i="1"/>
  <c r="P96" i="1"/>
  <c r="F102" i="1"/>
  <c r="P104" i="1"/>
  <c r="F107" i="1"/>
  <c r="P109" i="1"/>
  <c r="P68" i="1"/>
  <c r="F71" i="1"/>
  <c r="P76" i="1"/>
  <c r="F79" i="1"/>
  <c r="P81" i="1"/>
  <c r="F84" i="1"/>
  <c r="P89" i="1"/>
  <c r="F92" i="1"/>
  <c r="P94" i="1"/>
  <c r="F97" i="1"/>
  <c r="P102" i="1"/>
  <c r="F105" i="1"/>
  <c r="P107" i="1"/>
  <c r="F110" i="1"/>
  <c r="F4" i="1"/>
  <c r="F9" i="1"/>
  <c r="F17" i="1"/>
  <c r="P19" i="1"/>
  <c r="F22" i="1"/>
  <c r="P24" i="1"/>
  <c r="F27" i="1"/>
  <c r="P32" i="1"/>
  <c r="F35" i="1"/>
  <c r="P37" i="1"/>
  <c r="F40" i="1"/>
  <c r="P45" i="1"/>
  <c r="F48" i="1"/>
  <c r="P50" i="1"/>
  <c r="F69" i="1"/>
  <c r="P71" i="1"/>
  <c r="F77" i="1"/>
  <c r="P79" i="1"/>
  <c r="F82" i="1"/>
  <c r="P84" i="1"/>
  <c r="F90" i="1"/>
  <c r="P92" i="1"/>
  <c r="F95" i="1"/>
  <c r="P97" i="1"/>
  <c r="F103" i="1"/>
  <c r="P105" i="1"/>
  <c r="F10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<sst xmlns="http://schemas.openxmlformats.org/spreadsheetml/2006/main" count="126" uniqueCount="69">
  <si>
    <t>PA4 Slide 2</t>
  </si>
  <si>
    <t>HC Height</t>
  </si>
  <si>
    <t>HC Width</t>
  </si>
  <si>
    <t>Whole Brain</t>
  </si>
  <si>
    <t>Height/Whole</t>
  </si>
  <si>
    <t>Height/Avg</t>
  </si>
  <si>
    <t>Slice #</t>
  </si>
  <si>
    <t>PA4 Slide 3</t>
  </si>
  <si>
    <t>PA4 Slide 4</t>
  </si>
  <si>
    <t>PA4 Slide 5</t>
  </si>
  <si>
    <t>PA5 Slide 3</t>
  </si>
  <si>
    <t>PA5 Slide 4</t>
  </si>
  <si>
    <t>PA5 Slide 5</t>
  </si>
  <si>
    <t>PA5 Slide 6</t>
  </si>
  <si>
    <t>PA4</t>
  </si>
  <si>
    <t>PA5</t>
  </si>
  <si>
    <t>H/Avg</t>
  </si>
  <si>
    <t>W/Wh</t>
  </si>
  <si>
    <t>H/Wh</t>
  </si>
  <si>
    <t>W/Avg</t>
  </si>
  <si>
    <t>H</t>
  </si>
  <si>
    <t>W</t>
  </si>
  <si>
    <t>Wh</t>
  </si>
  <si>
    <t>wh</t>
  </si>
  <si>
    <t>PA2</t>
  </si>
  <si>
    <t>E4D0</t>
  </si>
  <si>
    <t>E4D1</t>
  </si>
  <si>
    <t>E4D2</t>
  </si>
  <si>
    <t>E4D4</t>
  </si>
  <si>
    <t>E4D8</t>
  </si>
  <si>
    <t>E4D16</t>
  </si>
  <si>
    <t>E4D32</t>
  </si>
  <si>
    <t>Depth H/Wh</t>
  </si>
  <si>
    <t>Depth H/Avg</t>
  </si>
  <si>
    <t>YFE4</t>
  </si>
  <si>
    <t>Depth W/Avg</t>
  </si>
  <si>
    <t>Depth W/Wh</t>
  </si>
  <si>
    <t>log w/Avg</t>
  </si>
  <si>
    <t>HS</t>
  </si>
  <si>
    <t>HS X</t>
  </si>
  <si>
    <t>HS Y</t>
  </si>
  <si>
    <t>HS/H</t>
  </si>
  <si>
    <t>H = HC height</t>
  </si>
  <si>
    <t>W = HC width</t>
  </si>
  <si>
    <t>Wh = Height of whole brain</t>
  </si>
  <si>
    <t>Avg = Average of all the whole brain measurements</t>
  </si>
  <si>
    <t>PA1 + 3</t>
  </si>
  <si>
    <t>PA1 12</t>
  </si>
  <si>
    <t>PA1 18</t>
  </si>
  <si>
    <t>PA1 36</t>
  </si>
  <si>
    <t>PA3 13</t>
  </si>
  <si>
    <t>PA3 22</t>
  </si>
  <si>
    <t>PA3 35</t>
  </si>
  <si>
    <t>Slide 5 brain 14</t>
  </si>
  <si>
    <t>Slide 6 brain 6</t>
  </si>
  <si>
    <t>Slide 7 Brain 9</t>
  </si>
  <si>
    <t>Slide 3 Brain 5</t>
  </si>
  <si>
    <t>Slide 3 Brain 14</t>
  </si>
  <si>
    <t>Slide 4 Brian 13</t>
  </si>
  <si>
    <t>DG H</t>
  </si>
  <si>
    <t>DG W</t>
  </si>
  <si>
    <t>whole</t>
  </si>
  <si>
    <t>DGH</t>
  </si>
  <si>
    <t>DGW</t>
  </si>
  <si>
    <t>PA2 Full data</t>
  </si>
  <si>
    <t>PA4 Full Data</t>
  </si>
  <si>
    <t>PA5 Full data</t>
  </si>
  <si>
    <t>H/whole</t>
  </si>
  <si>
    <t>W/whole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</si>
</sst>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0" fillId="4" borderId="0" xfId="0" applyFill="1"/>
    <xf numFmtId="0" fontId="0" fillId="5" borderId="0" xfId="0" applyFill="1"/>
    <xf numFmtId="0" fontId="2" fillId="5" borderId="0" xfId="0" applyFont="1" applyFill="1"/>
    <xf numFmtId="0" fontId="0" fillId="6" borderId="0" xfId="0" applyFill="1"/>
    <xf numFmtId="0" fontId="0" fillId="7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PA 4 Height/Whole and Height/Avg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>Trendline for series 1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  <c:trendlineLbl>
              <c:numFmt formatCode="General" sourceLinked="0"/>
            </c:trendlineLbl>
          </c:trendline>
          <c:val>
            <c:numRef>
              <c:f>Sheet1!$E$17:$E$54</c:f>
              <c:numCache>
                <c:formatCode>General</c:formatCode>
                <c:ptCount val="38"/>
                <c:pt idx="0">
                  <c:v>0.11375</c:v>
                </c:pt>
                <c:pt idx="1">
                  <c:v>0.13770491803278689</c:v>
                </c:pt>
                <c:pt idx="2">
                  <c:v>0.17669654289372599</c:v>
                </c:pt>
                <c:pt idx="3">
                  <c:v>0.22745337817181291</c:v>
                </c:pt>
                <c:pt idx="4">
                  <c:v>0.25540472599296127</c:v>
                </c:pt>
                <c:pt idx="5">
                  <c:v>0.26596543951915852</c:v>
                </c:pt>
                <c:pt idx="6">
                  <c:v>0.27829594151751952</c:v>
                </c:pt>
                <c:pt idx="7">
                  <c:v>0.28878795123117379</c:v>
                </c:pt>
                <c:pt idx="8">
                  <c:v>0.30713943459511261</c:v>
                </c:pt>
                <c:pt idx="9">
                  <c:v>0.3080557524214505</c:v>
                </c:pt>
                <c:pt idx="10">
                  <c:v>0.32892839980778471</c:v>
                </c:pt>
                <c:pt idx="11">
                  <c:v>0.35591556210112912</c:v>
                </c:pt>
                <c:pt idx="15">
                  <c:v>0.37893518518518521</c:v>
                </c:pt>
                <c:pt idx="16">
                  <c:v>0.39881088497598904</c:v>
                </c:pt>
                <c:pt idx="17">
                  <c:v>0.41077207582061953</c:v>
                </c:pt>
                <c:pt idx="18">
                  <c:v>0.41365461847389556</c:v>
                </c:pt>
                <c:pt idx="19">
                  <c:v>0.40884718498659517</c:v>
                </c:pt>
                <c:pt idx="20">
                  <c:v>0.44769585253456223</c:v>
                </c:pt>
                <c:pt idx="21">
                  <c:v>0.43910183715128148</c:v>
                </c:pt>
                <c:pt idx="22">
                  <c:v>0.43913143913143915</c:v>
                </c:pt>
                <c:pt idx="23">
                  <c:v>0.45433841949442039</c:v>
                </c:pt>
                <c:pt idx="24">
                  <c:v>0.46568401658222019</c:v>
                </c:pt>
                <c:pt idx="28">
                  <c:v>0.49988342270925623</c:v>
                </c:pt>
                <c:pt idx="29">
                  <c:v>0.46348908194411836</c:v>
                </c:pt>
                <c:pt idx="30">
                  <c:v>0.4851551956815115</c:v>
                </c:pt>
                <c:pt idx="31">
                  <c:v>0.5095182138660399</c:v>
                </c:pt>
                <c:pt idx="32">
                  <c:v>0.49238009861048859</c:v>
                </c:pt>
                <c:pt idx="33">
                  <c:v>0.51066758430832759</c:v>
                </c:pt>
                <c:pt idx="34">
                  <c:v>0.53095940122476748</c:v>
                </c:pt>
                <c:pt idx="35">
                  <c:v>0.52317880794701987</c:v>
                </c:pt>
                <c:pt idx="36">
                  <c:v>0.64291348935051273</c:v>
                </c:pt>
                <c:pt idx="37">
                  <c:v>0.54039497307001794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005-4E4D-989A-68E9248470E4}"/>
            </c:ext>
          </c:extLst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trendline>
            <c:name>Trendline for series 2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  <c:trendlineLbl>
              <c:numFmt formatCode="General" sourceLinked="0"/>
            </c:trendlineLbl>
          </c:trendline>
          <c:val>
            <c:numRef>
              <c:f>Sheet1!$F$17:$F$54</c:f>
              <c:numCache>
                <c:formatCode>General</c:formatCode>
                <c:ptCount val="38"/>
                <c:pt idx="0">
                  <c:v>0.10978043912175647</c:v>
                </c:pt>
                <c:pt idx="1">
                  <c:v>0.13173652694610777</c:v>
                </c:pt>
                <c:pt idx="2">
                  <c:v>0.16648022636046586</c:v>
                </c:pt>
                <c:pt idx="3">
                  <c:v>0.17950911364085015</c:v>
                </c:pt>
                <c:pt idx="4">
                  <c:v>0.24513610142352654</c:v>
                </c:pt>
                <c:pt idx="5">
                  <c:v>0.25623478318089093</c:v>
                </c:pt>
                <c:pt idx="6">
                  <c:v>0.26636836217674537</c:v>
                </c:pt>
                <c:pt idx="7">
                  <c:v>0.29146103397600404</c:v>
                </c:pt>
                <c:pt idx="8">
                  <c:v>0.30931543506393805</c:v>
                </c:pt>
                <c:pt idx="9">
                  <c:v>0.31462350025224273</c:v>
                </c:pt>
                <c:pt idx="10">
                  <c:v>0.33030642012677935</c:v>
                </c:pt>
                <c:pt idx="11">
                  <c:v>0.34984975104735583</c:v>
                </c:pt>
                <c:pt idx="15">
                  <c:v>0.39496830514794584</c:v>
                </c:pt>
                <c:pt idx="16">
                  <c:v>0.4207848040183369</c:v>
                </c:pt>
                <c:pt idx="17">
                  <c:v>0.428746901800794</c:v>
                </c:pt>
                <c:pt idx="18">
                  <c:v>0.4224737338509793</c:v>
                </c:pt>
                <c:pt idx="19">
                  <c:v>0.4415345133908008</c:v>
                </c:pt>
                <c:pt idx="20">
                  <c:v>0.4687986664034568</c:v>
                </c:pt>
                <c:pt idx="21">
                  <c:v>0.46710973657081439</c:v>
                </c:pt>
                <c:pt idx="22">
                  <c:v>0.45866508740760237</c:v>
                </c:pt>
                <c:pt idx="23">
                  <c:v>0.48134500230308608</c:v>
                </c:pt>
                <c:pt idx="24">
                  <c:v>0.48785944594327824</c:v>
                </c:pt>
                <c:pt idx="28">
                  <c:v>0.51729508016933168</c:v>
                </c:pt>
                <c:pt idx="29">
                  <c:v>0.47627821280515886</c:v>
                </c:pt>
                <c:pt idx="30">
                  <c:v>0.52043166414423891</c:v>
                </c:pt>
                <c:pt idx="31">
                  <c:v>0.52308569673839134</c:v>
                </c:pt>
                <c:pt idx="32">
                  <c:v>0.53008269175933842</c:v>
                </c:pt>
                <c:pt idx="33">
                  <c:v>0.5370796867802855</c:v>
                </c:pt>
                <c:pt idx="34">
                  <c:v>0.56482639117369648</c:v>
                </c:pt>
                <c:pt idx="35">
                  <c:v>0.55276260665482213</c:v>
                </c:pt>
                <c:pt idx="36">
                  <c:v>0.58991906297295515</c:v>
                </c:pt>
                <c:pt idx="37">
                  <c:v>0.58099186242898815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005-4E4D-989A-68E924847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2418573"/>
        <c:axId val="78333891"/>
      </c:lineChart>
      <c:catAx>
        <c:axId val="13524185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Depth into Brain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8333891"/>
        <c:crosses val="autoZero"/>
        <c:auto val="1"/>
        <c:lblAlgn val="ctr"/>
        <c:lblOffset val="100"/>
        <c:noMultiLvlLbl val="1"/>
      </c:catAx>
      <c:valAx>
        <c:axId val="783338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Ratio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524185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PA5 Height/Whole and Height/Avg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>Trendline for series 1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  <c:trendlineLbl>
              <c:numFmt formatCode="General" sourceLinked="0"/>
            </c:trendlineLbl>
          </c:trendline>
          <c:val>
            <c:numRef>
              <c:f>Sheet1!$E$68:$E$110</c:f>
              <c:numCache>
                <c:formatCode>General</c:formatCode>
                <c:ptCount val="43"/>
                <c:pt idx="0">
                  <c:v>4.0116703136396793E-2</c:v>
                </c:pt>
                <c:pt idx="1">
                  <c:v>8.202742409402547E-2</c:v>
                </c:pt>
                <c:pt idx="2">
                  <c:v>0.13192346424974824</c:v>
                </c:pt>
                <c:pt idx="3">
                  <c:v>0.14904809619238477</c:v>
                </c:pt>
                <c:pt idx="7">
                  <c:v>0.22593320235756384</c:v>
                </c:pt>
                <c:pt idx="8">
                  <c:v>0.23484486873508353</c:v>
                </c:pt>
                <c:pt idx="9">
                  <c:v>0.25653266331658292</c:v>
                </c:pt>
                <c:pt idx="10">
                  <c:v>0.27013506753376687</c:v>
                </c:pt>
                <c:pt idx="11">
                  <c:v>0.29006858013716025</c:v>
                </c:pt>
                <c:pt idx="12">
                  <c:v>0.29881728216268405</c:v>
                </c:pt>
                <c:pt idx="13">
                  <c:v>0.34178473775789214</c:v>
                </c:pt>
                <c:pt idx="14">
                  <c:v>0.33092485549132949</c:v>
                </c:pt>
                <c:pt idx="15">
                  <c:v>0.33160499646476549</c:v>
                </c:pt>
                <c:pt idx="16">
                  <c:v>0.33526526972804283</c:v>
                </c:pt>
                <c:pt idx="20">
                  <c:v>0.38680345068780603</c:v>
                </c:pt>
                <c:pt idx="21">
                  <c:v>0.39146482122260667</c:v>
                </c:pt>
                <c:pt idx="22">
                  <c:v>0.40271816881258943</c:v>
                </c:pt>
                <c:pt idx="23">
                  <c:v>0.40982035928143712</c:v>
                </c:pt>
                <c:pt idx="24">
                  <c:v>0.42249240121580545</c:v>
                </c:pt>
                <c:pt idx="25">
                  <c:v>0.4377491207502931</c:v>
                </c:pt>
                <c:pt idx="26">
                  <c:v>0.43186534470832372</c:v>
                </c:pt>
                <c:pt idx="27">
                  <c:v>0.45910475744082496</c:v>
                </c:pt>
                <c:pt idx="28">
                  <c:v>0.48620942152794727</c:v>
                </c:pt>
                <c:pt idx="29">
                  <c:v>0.47649122807017547</c:v>
                </c:pt>
                <c:pt idx="33">
                  <c:v>0.5060690943043884</c:v>
                </c:pt>
                <c:pt idx="34">
                  <c:v>0.50914563556378789</c:v>
                </c:pt>
                <c:pt idx="35">
                  <c:v>0.51937101185050139</c:v>
                </c:pt>
                <c:pt idx="36">
                  <c:v>0.53451449608835711</c:v>
                </c:pt>
                <c:pt idx="37">
                  <c:v>0.53423713235294112</c:v>
                </c:pt>
                <c:pt idx="38">
                  <c:v>0.52958647475439802</c:v>
                </c:pt>
                <c:pt idx="39">
                  <c:v>0.55369819097778794</c:v>
                </c:pt>
                <c:pt idx="40">
                  <c:v>0.56581716156184236</c:v>
                </c:pt>
                <c:pt idx="41">
                  <c:v>0.57333027312370899</c:v>
                </c:pt>
                <c:pt idx="42">
                  <c:v>0.59368469932667756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E0C-9841-9C7F-3089AD4FA52A}"/>
            </c:ext>
          </c:extLst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trendline>
            <c:name>Trendline for series 2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  <c:trendlineLbl>
              <c:numFmt formatCode="General" sourceLinked="0"/>
            </c:trendlineLbl>
          </c:trendline>
          <c:val>
            <c:numRef>
              <c:f>Sheet1!$F$68:$F$110</c:f>
              <c:numCache>
                <c:formatCode>General</c:formatCode>
                <c:ptCount val="43"/>
                <c:pt idx="0">
                  <c:v>3.9540576162681224E-2</c:v>
                </c:pt>
                <c:pt idx="1">
                  <c:v>8.0279351603019466E-2</c:v>
                </c:pt>
                <c:pt idx="2">
                  <c:v>0.12557128429845432</c:v>
                </c:pt>
                <c:pt idx="3">
                  <c:v>0.14258571404118381</c:v>
                </c:pt>
                <c:pt idx="7">
                  <c:v>0.22046866708888926</c:v>
                </c:pt>
                <c:pt idx="8">
                  <c:v>0.23580561784289894</c:v>
                </c:pt>
                <c:pt idx="9">
                  <c:v>0.24467229249756081</c:v>
                </c:pt>
                <c:pt idx="10">
                  <c:v>0.25881104397391347</c:v>
                </c:pt>
                <c:pt idx="11">
                  <c:v>0.27366871501686035</c:v>
                </c:pt>
                <c:pt idx="12">
                  <c:v>0.29667414114787488</c:v>
                </c:pt>
                <c:pt idx="13">
                  <c:v>0.32950480135567689</c:v>
                </c:pt>
                <c:pt idx="14">
                  <c:v>0.32926516150014551</c:v>
                </c:pt>
                <c:pt idx="15">
                  <c:v>0.33717327673268171</c:v>
                </c:pt>
                <c:pt idx="16">
                  <c:v>0.36041834271922768</c:v>
                </c:pt>
                <c:pt idx="20">
                  <c:v>0.39756252032659489</c:v>
                </c:pt>
                <c:pt idx="21">
                  <c:v>0.40666883483678812</c:v>
                </c:pt>
                <c:pt idx="22">
                  <c:v>0.4047517159925369</c:v>
                </c:pt>
                <c:pt idx="23">
                  <c:v>0.41002379281422774</c:v>
                </c:pt>
                <c:pt idx="24">
                  <c:v>0.43302921894524227</c:v>
                </c:pt>
                <c:pt idx="25">
                  <c:v>0.44740761027712639</c:v>
                </c:pt>
                <c:pt idx="26">
                  <c:v>0.44884544941031479</c:v>
                </c:pt>
                <c:pt idx="27">
                  <c:v>0.46945447698601528</c:v>
                </c:pt>
                <c:pt idx="28">
                  <c:v>0.47736259221855154</c:v>
                </c:pt>
                <c:pt idx="29">
                  <c:v>0.4881463857174646</c:v>
                </c:pt>
                <c:pt idx="33">
                  <c:v>0.51953920679207821</c:v>
                </c:pt>
                <c:pt idx="34">
                  <c:v>0.52696804231355165</c:v>
                </c:pt>
                <c:pt idx="35">
                  <c:v>0.54613923075606374</c:v>
                </c:pt>
                <c:pt idx="36">
                  <c:v>0.55668338439944542</c:v>
                </c:pt>
                <c:pt idx="37">
                  <c:v>0.55716266411050819</c:v>
                </c:pt>
                <c:pt idx="38">
                  <c:v>0.55548518512178835</c:v>
                </c:pt>
                <c:pt idx="39">
                  <c:v>0.57944917067492852</c:v>
                </c:pt>
                <c:pt idx="40">
                  <c:v>0.57992845038599128</c:v>
                </c:pt>
                <c:pt idx="41">
                  <c:v>0.5986203591174406</c:v>
                </c:pt>
                <c:pt idx="42">
                  <c:v>0.61275911059379329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E0C-9841-9C7F-3089AD4FA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7873948"/>
        <c:axId val="1495639779"/>
      </c:lineChart>
      <c:catAx>
        <c:axId val="807873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Depth into Brain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5639779"/>
        <c:crosses val="autoZero"/>
        <c:auto val="1"/>
        <c:lblAlgn val="ctr"/>
        <c:lblOffset val="100"/>
        <c:noMultiLvlLbl val="1"/>
      </c:catAx>
      <c:valAx>
        <c:axId val="14956397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Ratio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78739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PA4 Width/Whole and Width/Avg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>Trendline for series 1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0"/>
            <c:trendlineLbl>
              <c:numFmt formatCode="General" sourceLinked="0"/>
            </c:trendlineLbl>
          </c:trendline>
          <c:val>
            <c:numRef>
              <c:f>Sheet1!$O$17:$O$54</c:f>
              <c:numCache>
                <c:formatCode>General</c:formatCode>
                <c:ptCount val="38"/>
                <c:pt idx="0">
                  <c:v>7.6749999999999999E-2</c:v>
                </c:pt>
                <c:pt idx="1">
                  <c:v>0.10037831021437579</c:v>
                </c:pt>
                <c:pt idx="2">
                  <c:v>0.11574903969270166</c:v>
                </c:pt>
                <c:pt idx="3">
                  <c:v>0.16967288291042495</c:v>
                </c:pt>
                <c:pt idx="4">
                  <c:v>0.17873303167420815</c:v>
                </c:pt>
                <c:pt idx="5">
                  <c:v>0.19734535437014775</c:v>
                </c:pt>
                <c:pt idx="6">
                  <c:v>0.20317620368036299</c:v>
                </c:pt>
                <c:pt idx="7">
                  <c:v>0.20846282572316518</c:v>
                </c:pt>
                <c:pt idx="8">
                  <c:v>0.21034978437949209</c:v>
                </c:pt>
                <c:pt idx="9">
                  <c:v>0.22608079376328843</c:v>
                </c:pt>
                <c:pt idx="10">
                  <c:v>0.25756847669389715</c:v>
                </c:pt>
                <c:pt idx="11">
                  <c:v>0.27810505645557193</c:v>
                </c:pt>
                <c:pt idx="15">
                  <c:v>0.28958333333333336</c:v>
                </c:pt>
                <c:pt idx="16">
                  <c:v>0.29361994054424878</c:v>
                </c:pt>
                <c:pt idx="17">
                  <c:v>0.30490060101710587</c:v>
                </c:pt>
                <c:pt idx="18">
                  <c:v>0.31396172927002125</c:v>
                </c:pt>
                <c:pt idx="19">
                  <c:v>0.29870420017873101</c:v>
                </c:pt>
                <c:pt idx="20">
                  <c:v>0.3032258064516129</c:v>
                </c:pt>
                <c:pt idx="21">
                  <c:v>0.30301655704241326</c:v>
                </c:pt>
                <c:pt idx="22">
                  <c:v>0.32340032340032338</c:v>
                </c:pt>
                <c:pt idx="23">
                  <c:v>0.3195171942609884</c:v>
                </c:pt>
                <c:pt idx="24">
                  <c:v>0.33302625518194379</c:v>
                </c:pt>
                <c:pt idx="28">
                  <c:v>0.31545814875262301</c:v>
                </c:pt>
                <c:pt idx="29">
                  <c:v>0.31814980042263441</c:v>
                </c:pt>
                <c:pt idx="30">
                  <c:v>0.30814215024741343</c:v>
                </c:pt>
                <c:pt idx="31">
                  <c:v>0.3264394829612221</c:v>
                </c:pt>
                <c:pt idx="32">
                  <c:v>0.3086060062752129</c:v>
                </c:pt>
                <c:pt idx="33">
                  <c:v>0.32117458132599219</c:v>
                </c:pt>
                <c:pt idx="34">
                  <c:v>0.29870718983896577</c:v>
                </c:pt>
                <c:pt idx="35">
                  <c:v>0.31148664078556748</c:v>
                </c:pt>
                <c:pt idx="36">
                  <c:v>0.35813831185905864</c:v>
                </c:pt>
                <c:pt idx="37">
                  <c:v>0.30610412926391384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8D5-EB4B-BADB-344DEA73FCAA}"/>
            </c:ext>
          </c:extLst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trendline>
            <c:name>Trendline for series 2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0"/>
            <c:trendlineLbl>
              <c:numFmt formatCode="General" sourceLinked="0"/>
            </c:trendlineLbl>
          </c:trendline>
          <c:val>
            <c:numRef>
              <c:f>Sheet1!$P$17:$P$54</c:f>
              <c:numCache>
                <c:formatCode>General</c:formatCode>
                <c:ptCount val="38"/>
                <c:pt idx="0">
                  <c:v>7.4071636945888433E-2</c:v>
                </c:pt>
                <c:pt idx="1">
                  <c:v>9.6027724770239728E-2</c:v>
                </c:pt>
                <c:pt idx="2">
                  <c:v>0.10905661205062402</c:v>
                </c:pt>
                <c:pt idx="3">
                  <c:v>0.13390800815950515</c:v>
                </c:pt>
                <c:pt idx="4">
                  <c:v>0.1715470158583931</c:v>
                </c:pt>
                <c:pt idx="5">
                  <c:v>0.19012524401745956</c:v>
                </c:pt>
                <c:pt idx="6">
                  <c:v>0.19446820644425433</c:v>
                </c:pt>
                <c:pt idx="7">
                  <c:v>0.21039240200916845</c:v>
                </c:pt>
                <c:pt idx="8">
                  <c:v>0.21184005615143339</c:v>
                </c:pt>
                <c:pt idx="9">
                  <c:v>0.23090083569125483</c:v>
                </c:pt>
                <c:pt idx="10">
                  <c:v>0.25864754008466584</c:v>
                </c:pt>
                <c:pt idx="11">
                  <c:v>0.2733653571976925</c:v>
                </c:pt>
                <c:pt idx="15">
                  <c:v>0.30183588866223593</c:v>
                </c:pt>
                <c:pt idx="16">
                  <c:v>0.30979798644469303</c:v>
                </c:pt>
                <c:pt idx="17">
                  <c:v>0.31824263560790506</c:v>
                </c:pt>
                <c:pt idx="18">
                  <c:v>0.3206553925116799</c:v>
                </c:pt>
                <c:pt idx="19">
                  <c:v>0.32258559803469983</c:v>
                </c:pt>
                <c:pt idx="20">
                  <c:v>0.31751880853677256</c:v>
                </c:pt>
                <c:pt idx="21">
                  <c:v>0.32234432234432231</c:v>
                </c:pt>
                <c:pt idx="22">
                  <c:v>0.33778596652848147</c:v>
                </c:pt>
                <c:pt idx="23">
                  <c:v>0.33850979359961392</c:v>
                </c:pt>
                <c:pt idx="24">
                  <c:v>0.34888464828584587</c:v>
                </c:pt>
                <c:pt idx="28">
                  <c:v>0.32644600908073962</c:v>
                </c:pt>
                <c:pt idx="29">
                  <c:v>0.32692856046149454</c:v>
                </c:pt>
                <c:pt idx="30">
                  <c:v>0.33054769581715687</c:v>
                </c:pt>
                <c:pt idx="31">
                  <c:v>0.33513193393432911</c:v>
                </c:pt>
                <c:pt idx="32">
                  <c:v>0.33223662564979928</c:v>
                </c:pt>
                <c:pt idx="33">
                  <c:v>0.33778596652848147</c:v>
                </c:pt>
                <c:pt idx="34">
                  <c:v>0.31776008422715007</c:v>
                </c:pt>
                <c:pt idx="35">
                  <c:v>0.32910004167489193</c:v>
                </c:pt>
                <c:pt idx="36">
                  <c:v>0.32861749029413695</c:v>
                </c:pt>
                <c:pt idx="37">
                  <c:v>0.32910004167489193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8D5-EB4B-BADB-344DEA73F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461964"/>
        <c:axId val="70293630"/>
      </c:lineChart>
      <c:catAx>
        <c:axId val="9024619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Depth into brain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293630"/>
        <c:crosses val="autoZero"/>
        <c:auto val="1"/>
        <c:lblAlgn val="ctr"/>
        <c:lblOffset val="100"/>
        <c:noMultiLvlLbl val="1"/>
      </c:catAx>
      <c:valAx>
        <c:axId val="702936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Ratio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0246196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PA5 Width/Whole and Width/Avg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>Trendline for series 1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0"/>
            <c:trendlineLbl>
              <c:numFmt formatCode="General" sourceLinked="0"/>
            </c:trendlineLbl>
          </c:trendline>
          <c:val>
            <c:numRef>
              <c:f>Sheet1!$O$68:$O$110</c:f>
              <c:numCache>
                <c:formatCode>General</c:formatCode>
                <c:ptCount val="43"/>
                <c:pt idx="0">
                  <c:v>3.8657913931436909E-2</c:v>
                </c:pt>
                <c:pt idx="1">
                  <c:v>6.3907933398628797E-2</c:v>
                </c:pt>
                <c:pt idx="2">
                  <c:v>8.6606243705941596E-2</c:v>
                </c:pt>
                <c:pt idx="3">
                  <c:v>9.3186372745490978E-2</c:v>
                </c:pt>
                <c:pt idx="7">
                  <c:v>0.15594302554027506</c:v>
                </c:pt>
                <c:pt idx="8">
                  <c:v>0.14630071599045347</c:v>
                </c:pt>
                <c:pt idx="9">
                  <c:v>0.18542713567839195</c:v>
                </c:pt>
                <c:pt idx="10">
                  <c:v>0.18534267133566784</c:v>
                </c:pt>
                <c:pt idx="11">
                  <c:v>0.19837439674879351</c:v>
                </c:pt>
                <c:pt idx="12">
                  <c:v>0.20709630702389573</c:v>
                </c:pt>
                <c:pt idx="13">
                  <c:v>0.21575938354461843</c:v>
                </c:pt>
                <c:pt idx="14">
                  <c:v>0.23097302504816955</c:v>
                </c:pt>
                <c:pt idx="15">
                  <c:v>0.23709639406080604</c:v>
                </c:pt>
                <c:pt idx="16">
                  <c:v>0.22938029424877396</c:v>
                </c:pt>
                <c:pt idx="20">
                  <c:v>0.27605502448123104</c:v>
                </c:pt>
                <c:pt idx="21">
                  <c:v>0.25397923875432526</c:v>
                </c:pt>
                <c:pt idx="22">
                  <c:v>0.29637577491654743</c:v>
                </c:pt>
                <c:pt idx="23">
                  <c:v>0.29029940119760478</c:v>
                </c:pt>
                <c:pt idx="24">
                  <c:v>0.28851999064765022</c:v>
                </c:pt>
                <c:pt idx="25">
                  <c:v>0.30152403282532242</c:v>
                </c:pt>
                <c:pt idx="26">
                  <c:v>0.29098455153331798</c:v>
                </c:pt>
                <c:pt idx="27">
                  <c:v>0.30466369814858213</c:v>
                </c:pt>
                <c:pt idx="28">
                  <c:v>0.32291920917744693</c:v>
                </c:pt>
                <c:pt idx="29">
                  <c:v>0.31321637426900584</c:v>
                </c:pt>
                <c:pt idx="33">
                  <c:v>0.32446311858076565</c:v>
                </c:pt>
                <c:pt idx="34">
                  <c:v>0.31650845103033109</c:v>
                </c:pt>
                <c:pt idx="35">
                  <c:v>0.32383773928896992</c:v>
                </c:pt>
                <c:pt idx="36">
                  <c:v>0.32006442705936494</c:v>
                </c:pt>
                <c:pt idx="37">
                  <c:v>0.32169117647058826</c:v>
                </c:pt>
                <c:pt idx="38">
                  <c:v>0.31711217729038155</c:v>
                </c:pt>
                <c:pt idx="39">
                  <c:v>0.32127318525303411</c:v>
                </c:pt>
                <c:pt idx="40">
                  <c:v>0.32172083235913024</c:v>
                </c:pt>
                <c:pt idx="41">
                  <c:v>0.31443653890291484</c:v>
                </c:pt>
                <c:pt idx="42">
                  <c:v>0.31181797074529838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39-B445-AE39-29A2E7093B72}"/>
            </c:ext>
          </c:extLst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trendline>
            <c:name>Trendline for series 2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0"/>
            <c:trendlineLbl>
              <c:numFmt formatCode="General" sourceLinked="0"/>
            </c:trendlineLbl>
          </c:trendline>
          <c:val>
            <c:numRef>
              <c:f>Sheet1!$P$68:$P$110</c:f>
              <c:numCache>
                <c:formatCode>General</c:formatCode>
                <c:ptCount val="43"/>
                <c:pt idx="0">
                  <c:v>3.8102737029492816E-2</c:v>
                </c:pt>
                <c:pt idx="1">
                  <c:v>6.2546002293695752E-2</c:v>
                </c:pt>
                <c:pt idx="2">
                  <c:v>8.2436110302802068E-2</c:v>
                </c:pt>
                <c:pt idx="3">
                  <c:v>8.914602625768131E-2</c:v>
                </c:pt>
                <c:pt idx="7">
                  <c:v>0.15217130826243988</c:v>
                </c:pt>
                <c:pt idx="8">
                  <c:v>0.14689923144074904</c:v>
                </c:pt>
                <c:pt idx="9">
                  <c:v>0.17685421338217422</c:v>
                </c:pt>
                <c:pt idx="10">
                  <c:v>0.17757313294876842</c:v>
                </c:pt>
                <c:pt idx="11">
                  <c:v>0.18715872717002446</c:v>
                </c:pt>
                <c:pt idx="12">
                  <c:v>0.20561099604594238</c:v>
                </c:pt>
                <c:pt idx="13">
                  <c:v>0.20800739460125639</c:v>
                </c:pt>
                <c:pt idx="14">
                  <c:v>0.22981462145461393</c:v>
                </c:pt>
                <c:pt idx="15">
                  <c:v>0.24107769466458978</c:v>
                </c:pt>
                <c:pt idx="16">
                  <c:v>0.246589411341812</c:v>
                </c:pt>
                <c:pt idx="20">
                  <c:v>0.28373358894917922</c:v>
                </c:pt>
                <c:pt idx="21">
                  <c:v>0.26384348094007293</c:v>
                </c:pt>
                <c:pt idx="22">
                  <c:v>0.2978723404255319</c:v>
                </c:pt>
                <c:pt idx="23">
                  <c:v>0.29044350490405846</c:v>
                </c:pt>
                <c:pt idx="24">
                  <c:v>0.2957155817257493</c:v>
                </c:pt>
                <c:pt idx="25">
                  <c:v>0.30817685421338215</c:v>
                </c:pt>
                <c:pt idx="26">
                  <c:v>0.30242549768062854</c:v>
                </c:pt>
                <c:pt idx="27">
                  <c:v>0.31153181219082177</c:v>
                </c:pt>
                <c:pt idx="28">
                  <c:v>0.31704352886804399</c:v>
                </c:pt>
                <c:pt idx="29">
                  <c:v>0.32087776655654643</c:v>
                </c:pt>
                <c:pt idx="33">
                  <c:v>0.33309939918864789</c:v>
                </c:pt>
                <c:pt idx="34">
                  <c:v>0.32758768251142567</c:v>
                </c:pt>
                <c:pt idx="35">
                  <c:v>0.34052823471012134</c:v>
                </c:pt>
                <c:pt idx="36">
                  <c:v>0.33333903904417933</c:v>
                </c:pt>
                <c:pt idx="37">
                  <c:v>0.33549579774396193</c:v>
                </c:pt>
                <c:pt idx="38">
                  <c:v>0.33262011947758513</c:v>
                </c:pt>
                <c:pt idx="39">
                  <c:v>0.33621471731055613</c:v>
                </c:pt>
                <c:pt idx="40">
                  <c:v>0.32974444121120827</c:v>
                </c:pt>
                <c:pt idx="41">
                  <c:v>0.32830660207801987</c:v>
                </c:pt>
                <c:pt idx="42">
                  <c:v>0.32183632597867207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39-B445-AE39-29A2E7093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4745295"/>
        <c:axId val="933006729"/>
      </c:lineChart>
      <c:catAx>
        <c:axId val="1594745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Depth into Brain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33006729"/>
        <c:crosses val="autoZero"/>
        <c:auto val="1"/>
        <c:lblAlgn val="ctr"/>
        <c:lblOffset val="100"/>
        <c:noMultiLvlLbl val="1"/>
      </c:catAx>
      <c:valAx>
        <c:axId val="9330067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Ratio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474529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PA4 Height/Whole</a:t>
            </a:r>
            <a:r>
              <a:rPr lang="en-US" baseline="0"/>
              <a:t> and Height/Avg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Sheet2!$E$2</c:f>
              <c:strCache>
                <c:ptCount val="1"/>
                <c:pt idx="0">
                  <c:v>H/Wh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477438385217328E-3"/>
                  <c:y val="0.1872709257667958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y = 0.013x + 0.1755</a:t>
                    </a:r>
                    <a:br>
                      <a:rPr lang="en-US" sz="1400" baseline="0"/>
                    </a:br>
                    <a:r>
                      <a:rPr lang="en-US" sz="1400" baseline="0"/>
                      <a:t>R² = 0.9346</a:t>
                    </a:r>
                    <a:endParaRPr lang="en-US" sz="1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Sheet2!$G$3:$G$34</c:f>
              <c:numCache>
                <c:formatCode>General</c:formatCode>
                <c:ptCount val="3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29</c:v>
                </c:pt>
                <c:pt idx="23">
                  <c:v>30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</c:numCache>
            </c:numRef>
          </c:cat>
          <c:val>
            <c:numRef>
              <c:f>Sheet2!$E$3:$E$34</c:f>
              <c:numCache>
                <c:formatCode>General</c:formatCode>
                <c:ptCount val="32"/>
                <c:pt idx="0">
                  <c:v>0.11375</c:v>
                </c:pt>
                <c:pt idx="1">
                  <c:v>0.13770491803278689</c:v>
                </c:pt>
                <c:pt idx="2">
                  <c:v>0.17669654289372599</c:v>
                </c:pt>
                <c:pt idx="3">
                  <c:v>0.22745337817181291</c:v>
                </c:pt>
                <c:pt idx="4">
                  <c:v>0.25540472599296127</c:v>
                </c:pt>
                <c:pt idx="5">
                  <c:v>0.26596543951915852</c:v>
                </c:pt>
                <c:pt idx="6">
                  <c:v>0.27829594151751952</c:v>
                </c:pt>
                <c:pt idx="7">
                  <c:v>0.28878795123117379</c:v>
                </c:pt>
                <c:pt idx="8">
                  <c:v>0.30713943459511261</c:v>
                </c:pt>
                <c:pt idx="9">
                  <c:v>0.3080557524214505</c:v>
                </c:pt>
                <c:pt idx="10">
                  <c:v>0.32892839980778471</c:v>
                </c:pt>
                <c:pt idx="11">
                  <c:v>0.35591556210112912</c:v>
                </c:pt>
                <c:pt idx="12">
                  <c:v>0.37893518518518521</c:v>
                </c:pt>
                <c:pt idx="13">
                  <c:v>0.39881088497598904</c:v>
                </c:pt>
                <c:pt idx="14">
                  <c:v>0.41077207582061953</c:v>
                </c:pt>
                <c:pt idx="15">
                  <c:v>0.41365461847389556</c:v>
                </c:pt>
                <c:pt idx="16">
                  <c:v>0.40884718498659517</c:v>
                </c:pt>
                <c:pt idx="17">
                  <c:v>0.44769585253456223</c:v>
                </c:pt>
                <c:pt idx="18">
                  <c:v>0.43910183715128148</c:v>
                </c:pt>
                <c:pt idx="19">
                  <c:v>0.43913143913143915</c:v>
                </c:pt>
                <c:pt idx="20">
                  <c:v>0.45433841949442039</c:v>
                </c:pt>
                <c:pt idx="21">
                  <c:v>0.46568401658222019</c:v>
                </c:pt>
                <c:pt idx="22">
                  <c:v>0.49988342270925623</c:v>
                </c:pt>
                <c:pt idx="23">
                  <c:v>0.46348908194411836</c:v>
                </c:pt>
                <c:pt idx="24">
                  <c:v>0.4851551956815115</c:v>
                </c:pt>
                <c:pt idx="25">
                  <c:v>0.5095182138660399</c:v>
                </c:pt>
                <c:pt idx="26">
                  <c:v>0.49238009861048859</c:v>
                </c:pt>
                <c:pt idx="27">
                  <c:v>0.51066758430832759</c:v>
                </c:pt>
                <c:pt idx="28">
                  <c:v>0.53095940122476748</c:v>
                </c:pt>
                <c:pt idx="29">
                  <c:v>0.52317880794701987</c:v>
                </c:pt>
                <c:pt idx="30">
                  <c:v>0.64291348935051273</c:v>
                </c:pt>
                <c:pt idx="31">
                  <c:v>0.54039497307001794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7F-6C45-9D27-F756ACE49E85}"/>
            </c:ext>
          </c:extLst>
        </c:ser>
        <c:ser>
          <c:idx val="1"/>
          <c:order val="1"/>
          <c:tx>
            <c:strRef>
              <c:f>Sheet2!$F$2</c:f>
              <c:strCache>
                <c:ptCount val="1"/>
                <c:pt idx="0">
                  <c:v>H/Avg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3019234050851917E-2"/>
                  <c:y val="-2.5931816986128405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y = 0.0141x + 0.162</a:t>
                    </a:r>
                    <a:br>
                      <a:rPr lang="en-US" sz="1400" baseline="0"/>
                    </a:br>
                    <a:r>
                      <a:rPr lang="en-US" sz="1400" baseline="0"/>
                      <a:t>R² = 0.9445</a:t>
                    </a:r>
                    <a:endParaRPr lang="en-US" sz="1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Sheet2!$G$3:$G$34</c:f>
              <c:numCache>
                <c:formatCode>General</c:formatCode>
                <c:ptCount val="3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29</c:v>
                </c:pt>
                <c:pt idx="23">
                  <c:v>30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</c:numCache>
            </c:numRef>
          </c:cat>
          <c:val>
            <c:numRef>
              <c:f>Sheet2!$F$3:$F$34</c:f>
              <c:numCache>
                <c:formatCode>General</c:formatCode>
                <c:ptCount val="32"/>
                <c:pt idx="0">
                  <c:v>0.10820371430057743</c:v>
                </c:pt>
                <c:pt idx="1">
                  <c:v>0.12984445716069293</c:v>
                </c:pt>
                <c:pt idx="2">
                  <c:v>0.16408914915911743</c:v>
                </c:pt>
                <c:pt idx="3">
                  <c:v>0.17693090865852662</c:v>
                </c:pt>
                <c:pt idx="4">
                  <c:v>0.2416153268777729</c:v>
                </c:pt>
                <c:pt idx="5">
                  <c:v>0.25255460348838071</c:v>
                </c:pt>
                <c:pt idx="6">
                  <c:v>0.26254263865458788</c:v>
                </c:pt>
                <c:pt idx="7">
                  <c:v>0.28727491620900558</c:v>
                </c:pt>
                <c:pt idx="8">
                  <c:v>0.3048728829304182</c:v>
                </c:pt>
                <c:pt idx="9">
                  <c:v>0.31010471087462194</c:v>
                </c:pt>
                <c:pt idx="10">
                  <c:v>0.32556238434613299</c:v>
                </c:pt>
                <c:pt idx="11">
                  <c:v>0.34482502359524675</c:v>
                </c:pt>
                <c:pt idx="12">
                  <c:v>0.38929556112097857</c:v>
                </c:pt>
                <c:pt idx="13">
                  <c:v>0.4147412697586968</c:v>
                </c:pt>
                <c:pt idx="14">
                  <c:v>0.4225890116750024</c:v>
                </c:pt>
                <c:pt idx="15">
                  <c:v>0.41640594228639799</c:v>
                </c:pt>
                <c:pt idx="16">
                  <c:v>0.43519296081331144</c:v>
                </c:pt>
                <c:pt idx="17">
                  <c:v>0.46206553161763064</c:v>
                </c:pt>
                <c:pt idx="18">
                  <c:v>0.46040085908992945</c:v>
                </c:pt>
                <c:pt idx="19">
                  <c:v>0.45207749645142353</c:v>
                </c:pt>
                <c:pt idx="20">
                  <c:v>0.47443167039483952</c:v>
                </c:pt>
                <c:pt idx="21">
                  <c:v>0.48085255014454409</c:v>
                </c:pt>
                <c:pt idx="22">
                  <c:v>0.50986541419876485</c:v>
                </c:pt>
                <c:pt idx="23">
                  <c:v>0.46943765281173594</c:v>
                </c:pt>
                <c:pt idx="24">
                  <c:v>0.51295694889306709</c:v>
                </c:pt>
                <c:pt idx="25">
                  <c:v>0.5155728628651689</c:v>
                </c:pt>
                <c:pt idx="26">
                  <c:v>0.52246936333707394</c:v>
                </c:pt>
                <c:pt idx="27">
                  <c:v>0.52936586380897888</c:v>
                </c:pt>
                <c:pt idx="28">
                  <c:v>0.55671405533549845</c:v>
                </c:pt>
                <c:pt idx="29">
                  <c:v>0.54482353728048993</c:v>
                </c:pt>
                <c:pt idx="30">
                  <c:v>0.5814463328899161</c:v>
                </c:pt>
                <c:pt idx="31">
                  <c:v>0.57264734952920981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7F-6C45-9D27-F756ACE49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6100624"/>
        <c:axId val="496647696"/>
      </c:lineChart>
      <c:catAx>
        <c:axId val="496100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Slide</a:t>
                </a:r>
                <a:r>
                  <a:rPr lang="en-US" baseline="0"/>
                  <a:t> Depth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647696"/>
        <c:crosses val="autoZero"/>
        <c:auto val="1"/>
        <c:lblAlgn val="ctr"/>
        <c:lblOffset val="100"/>
        <c:noMultiLvlLbl val="0"/>
      </c:catAx>
      <c:valAx>
        <c:axId val="49664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</a:t>
                </a:r>
                <a:r>
                  <a:rPr lang="en-US" baseline="0"/>
                  <a:t>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10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PA4</a:t>
            </a:r>
            <a:r>
              <a:rPr lang="en-US" baseline="0"/>
              <a:t> Width/Whole and Width/Average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H/Wh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6.2813017471528509E-2"/>
                  <c:y val="0.146454511196176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Sheet2!$G$3:$G$34</c:f>
              <c:numCache>
                <c:formatCode>General</c:formatCode>
                <c:ptCount val="3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29</c:v>
                </c:pt>
                <c:pt idx="23">
                  <c:v>30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</c:numCache>
            </c:numRef>
          </c:cat>
          <c:val>
            <c:numRef>
              <c:f>Sheet2!$H$3:$H$34</c:f>
              <c:numCache>
                <c:formatCode>General</c:formatCode>
                <c:ptCount val="32"/>
                <c:pt idx="0">
                  <c:v>7.6749999999999999E-2</c:v>
                </c:pt>
                <c:pt idx="1">
                  <c:v>0.10037831021437579</c:v>
                </c:pt>
                <c:pt idx="2">
                  <c:v>0.11574903969270166</c:v>
                </c:pt>
                <c:pt idx="3">
                  <c:v>0.16967288291042495</c:v>
                </c:pt>
                <c:pt idx="4">
                  <c:v>0.17873303167420815</c:v>
                </c:pt>
                <c:pt idx="5">
                  <c:v>0.19734535437014775</c:v>
                </c:pt>
                <c:pt idx="6">
                  <c:v>0.20317620368036299</c:v>
                </c:pt>
                <c:pt idx="7">
                  <c:v>0.20846282572316518</c:v>
                </c:pt>
                <c:pt idx="8">
                  <c:v>0.21034978437949209</c:v>
                </c:pt>
                <c:pt idx="9">
                  <c:v>0.22608079376328843</c:v>
                </c:pt>
                <c:pt idx="10">
                  <c:v>0.25756847669389715</c:v>
                </c:pt>
                <c:pt idx="11">
                  <c:v>0.27810505645557193</c:v>
                </c:pt>
                <c:pt idx="12">
                  <c:v>0.28958333333333336</c:v>
                </c:pt>
                <c:pt idx="13">
                  <c:v>0.29361994054424878</c:v>
                </c:pt>
                <c:pt idx="14">
                  <c:v>0.30490060101710587</c:v>
                </c:pt>
                <c:pt idx="15">
                  <c:v>0.31396172927002125</c:v>
                </c:pt>
                <c:pt idx="16">
                  <c:v>0.29870420017873101</c:v>
                </c:pt>
                <c:pt idx="17">
                  <c:v>0.3032258064516129</c:v>
                </c:pt>
                <c:pt idx="18">
                  <c:v>0.30301655704241326</c:v>
                </c:pt>
                <c:pt idx="19">
                  <c:v>0.32340032340032338</c:v>
                </c:pt>
                <c:pt idx="20">
                  <c:v>0.3195171942609884</c:v>
                </c:pt>
                <c:pt idx="21">
                  <c:v>0.33302625518194379</c:v>
                </c:pt>
                <c:pt idx="22">
                  <c:v>0.31545814875262301</c:v>
                </c:pt>
                <c:pt idx="23">
                  <c:v>0.31814980042263441</c:v>
                </c:pt>
                <c:pt idx="24">
                  <c:v>0.30814215024741343</c:v>
                </c:pt>
                <c:pt idx="25">
                  <c:v>0.3264394829612221</c:v>
                </c:pt>
                <c:pt idx="26">
                  <c:v>0.3086060062752129</c:v>
                </c:pt>
                <c:pt idx="27">
                  <c:v>0.32117458132599219</c:v>
                </c:pt>
                <c:pt idx="28">
                  <c:v>0.29870718983896577</c:v>
                </c:pt>
                <c:pt idx="29">
                  <c:v>0.31148664078556748</c:v>
                </c:pt>
                <c:pt idx="30">
                  <c:v>0.35813831185905864</c:v>
                </c:pt>
                <c:pt idx="31">
                  <c:v>0.30610412926391384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15-7041-AE27-A9AF7658E991}"/>
            </c:ext>
          </c:extLst>
        </c:ser>
        <c:ser>
          <c:idx val="1"/>
          <c:order val="1"/>
          <c:tx>
            <c:v>H/Avg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8.2533991191015288E-2"/>
                  <c:y val="-0.13560483151193004"/>
                </c:manualLayout>
              </c:layout>
              <c:numFmt formatCode="General" sourceLinked="0"/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Sheet2!$G$3:$G$34</c:f>
              <c:numCache>
                <c:formatCode>General</c:formatCode>
                <c:ptCount val="3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29</c:v>
                </c:pt>
                <c:pt idx="23">
                  <c:v>30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</c:numCache>
            </c:numRef>
          </c:cat>
          <c:val>
            <c:numRef>
              <c:f>Sheet2!$I$3:$I$34</c:f>
              <c:numCache>
                <c:formatCode>General</c:formatCode>
                <c:ptCount val="32"/>
                <c:pt idx="0">
                  <c:v>7.3007780857752252E-2</c:v>
                </c:pt>
                <c:pt idx="1">
                  <c:v>9.4648523717867736E-2</c:v>
                </c:pt>
                <c:pt idx="2">
                  <c:v>0.10749028321727692</c:v>
                </c:pt>
                <c:pt idx="3">
                  <c:v>0.13198475041059446</c:v>
                </c:pt>
                <c:pt idx="4">
                  <c:v>0.16908316674222101</c:v>
                </c:pt>
                <c:pt idx="5">
                  <c:v>0.18739456454693409</c:v>
                </c:pt>
                <c:pt idx="6">
                  <c:v>0.19167515104673716</c:v>
                </c:pt>
                <c:pt idx="7">
                  <c:v>0.2073706348793484</c:v>
                </c:pt>
                <c:pt idx="8">
                  <c:v>0.20879749704594941</c:v>
                </c:pt>
                <c:pt idx="9">
                  <c:v>0.22758451557286286</c:v>
                </c:pt>
                <c:pt idx="10">
                  <c:v>0.25493270709938243</c:v>
                </c:pt>
                <c:pt idx="11">
                  <c:v>0.26943913912649281</c:v>
                </c:pt>
                <c:pt idx="12">
                  <c:v>0.2975007617363129</c:v>
                </c:pt>
                <c:pt idx="13">
                  <c:v>0.30534850365261851</c:v>
                </c:pt>
                <c:pt idx="14">
                  <c:v>0.31367186629112448</c:v>
                </c:pt>
                <c:pt idx="15">
                  <c:v>0.31604996990212619</c:v>
                </c:pt>
                <c:pt idx="16">
                  <c:v>0.31795245279092754</c:v>
                </c:pt>
                <c:pt idx="17">
                  <c:v>0.31295843520782396</c:v>
                </c:pt>
                <c:pt idx="18">
                  <c:v>0.31771464242982739</c:v>
                </c:pt>
                <c:pt idx="19">
                  <c:v>0.33293450554023823</c:v>
                </c:pt>
                <c:pt idx="20">
                  <c:v>0.33364793662353875</c:v>
                </c:pt>
                <c:pt idx="21">
                  <c:v>0.34387378215084607</c:v>
                </c:pt>
                <c:pt idx="22">
                  <c:v>0.32175741856853024</c:v>
                </c:pt>
                <c:pt idx="23">
                  <c:v>0.32223303929073061</c:v>
                </c:pt>
                <c:pt idx="24">
                  <c:v>0.32580019470723315</c:v>
                </c:pt>
                <c:pt idx="25">
                  <c:v>0.33031859156813637</c:v>
                </c:pt>
                <c:pt idx="26">
                  <c:v>0.32746486723493434</c:v>
                </c:pt>
                <c:pt idx="27">
                  <c:v>0.33293450554023823</c:v>
                </c:pt>
                <c:pt idx="28">
                  <c:v>0.31319624556892411</c:v>
                </c:pt>
                <c:pt idx="29">
                  <c:v>0.32437333254063211</c:v>
                </c:pt>
                <c:pt idx="30">
                  <c:v>0.3238977118184318</c:v>
                </c:pt>
                <c:pt idx="31">
                  <c:v>0.32437333254063211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15-7041-AE27-A9AF7658E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7160016"/>
        <c:axId val="797924128"/>
      </c:lineChart>
      <c:catAx>
        <c:axId val="797160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Slide</a:t>
                </a:r>
                <a:r>
                  <a:rPr lang="en-US" baseline="0"/>
                  <a:t> Depth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924128"/>
        <c:crosses val="autoZero"/>
        <c:auto val="1"/>
        <c:lblAlgn val="ctr"/>
        <c:lblOffset val="100"/>
        <c:noMultiLvlLbl val="0"/>
      </c:catAx>
      <c:valAx>
        <c:axId val="79792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</a:t>
                </a:r>
                <a:r>
                  <a:rPr lang="en-US" baseline="0"/>
                  <a:t> Values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16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PA5</a:t>
            </a:r>
            <a:r>
              <a:rPr lang="en-US" baseline="0"/>
              <a:t> Height/Whole and Height/Avg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W/Wh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0136139524615498E-3"/>
                  <c:y val="0.1731108639893817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y = 0.0144x + 0.1309</a:t>
                    </a:r>
                    <a:br>
                      <a:rPr lang="en-US" sz="1400" baseline="0"/>
                    </a:br>
                    <a:r>
                      <a:rPr lang="en-US" sz="1400" baseline="0"/>
                      <a:t>R² = 0.9484</a:t>
                    </a:r>
                    <a:endParaRPr lang="en-US" sz="1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Sheet2!$T$3:$T$36</c:f>
              <c:numCache>
                <c:formatCode>General</c:formatCode>
                <c:ptCount val="3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32</c:v>
                </c:pt>
                <c:pt idx="25">
                  <c:v>33</c:v>
                </c:pt>
                <c:pt idx="26">
                  <c:v>34</c:v>
                </c:pt>
                <c:pt idx="27">
                  <c:v>35</c:v>
                </c:pt>
                <c:pt idx="28">
                  <c:v>36</c:v>
                </c:pt>
                <c:pt idx="29">
                  <c:v>37</c:v>
                </c:pt>
                <c:pt idx="30">
                  <c:v>38</c:v>
                </c:pt>
                <c:pt idx="31">
                  <c:v>39</c:v>
                </c:pt>
                <c:pt idx="32">
                  <c:v>40</c:v>
                </c:pt>
                <c:pt idx="33">
                  <c:v>41</c:v>
                </c:pt>
              </c:numCache>
            </c:numRef>
          </c:cat>
          <c:val>
            <c:numRef>
              <c:f>Sheet2!$R$3:$R$36</c:f>
              <c:numCache>
                <c:formatCode>General</c:formatCode>
                <c:ptCount val="34"/>
                <c:pt idx="0">
                  <c:v>4.0116703136396793E-2</c:v>
                </c:pt>
                <c:pt idx="1">
                  <c:v>8.202742409402547E-2</c:v>
                </c:pt>
                <c:pt idx="2">
                  <c:v>0.13192346424974824</c:v>
                </c:pt>
                <c:pt idx="3">
                  <c:v>0.14904809619238477</c:v>
                </c:pt>
                <c:pt idx="4">
                  <c:v>0.22593320235756384</c:v>
                </c:pt>
                <c:pt idx="5">
                  <c:v>0.23484486873508353</c:v>
                </c:pt>
                <c:pt idx="6">
                  <c:v>0.25653266331658292</c:v>
                </c:pt>
                <c:pt idx="7">
                  <c:v>0.27013506753376687</c:v>
                </c:pt>
                <c:pt idx="8">
                  <c:v>0.29006858013716025</c:v>
                </c:pt>
                <c:pt idx="9">
                  <c:v>0.29881728216268405</c:v>
                </c:pt>
                <c:pt idx="10">
                  <c:v>0.34178473775789214</c:v>
                </c:pt>
                <c:pt idx="11">
                  <c:v>0.33092485549132949</c:v>
                </c:pt>
                <c:pt idx="12">
                  <c:v>0.33160499646476549</c:v>
                </c:pt>
                <c:pt idx="13">
                  <c:v>0.33526526972804283</c:v>
                </c:pt>
                <c:pt idx="14">
                  <c:v>0.38680345068780603</c:v>
                </c:pt>
                <c:pt idx="15">
                  <c:v>0.39146482122260667</c:v>
                </c:pt>
                <c:pt idx="16">
                  <c:v>0.40271816881258943</c:v>
                </c:pt>
                <c:pt idx="17">
                  <c:v>0.40982035928143712</c:v>
                </c:pt>
                <c:pt idx="18">
                  <c:v>0.42249240121580545</c:v>
                </c:pt>
                <c:pt idx="19">
                  <c:v>0.4377491207502931</c:v>
                </c:pt>
                <c:pt idx="20">
                  <c:v>0.43186534470832372</c:v>
                </c:pt>
                <c:pt idx="21">
                  <c:v>0.45910475744082496</c:v>
                </c:pt>
                <c:pt idx="22">
                  <c:v>0.48620942152794727</c:v>
                </c:pt>
                <c:pt idx="23">
                  <c:v>0.47649122807017547</c:v>
                </c:pt>
                <c:pt idx="24">
                  <c:v>0.5060690943043884</c:v>
                </c:pt>
                <c:pt idx="25">
                  <c:v>0.50914563556378789</c:v>
                </c:pt>
                <c:pt idx="26">
                  <c:v>0.51937101185050139</c:v>
                </c:pt>
                <c:pt idx="27">
                  <c:v>0.53451449608835711</c:v>
                </c:pt>
                <c:pt idx="28">
                  <c:v>0.53423713235294112</c:v>
                </c:pt>
                <c:pt idx="29">
                  <c:v>0.52958647475439802</c:v>
                </c:pt>
                <c:pt idx="30">
                  <c:v>0.55369819097778794</c:v>
                </c:pt>
                <c:pt idx="31">
                  <c:v>0.56581716156184236</c:v>
                </c:pt>
                <c:pt idx="32">
                  <c:v>0.57333027312370899</c:v>
                </c:pt>
                <c:pt idx="33">
                  <c:v>0.59368469932667756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5F-8A47-B388-21F1719A0646}"/>
            </c:ext>
          </c:extLst>
        </c:ser>
        <c:ser>
          <c:idx val="1"/>
          <c:order val="1"/>
          <c:tx>
            <c:v>W/Avg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3117227169033784E-2"/>
                  <c:y val="-1.905493874769070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y = 0.0153x + 0.1191</a:t>
                    </a:r>
                    <a:br>
                      <a:rPr lang="en-US" sz="1400" baseline="0"/>
                    </a:br>
                    <a:r>
                      <a:rPr lang="en-US" sz="1400" baseline="0"/>
                      <a:t>R² = 0.96</a:t>
                    </a:r>
                    <a:endParaRPr lang="en-US" sz="1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Sheet2!$T$3:$T$36</c:f>
              <c:numCache>
                <c:formatCode>General</c:formatCode>
                <c:ptCount val="3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32</c:v>
                </c:pt>
                <c:pt idx="25">
                  <c:v>33</c:v>
                </c:pt>
                <c:pt idx="26">
                  <c:v>34</c:v>
                </c:pt>
                <c:pt idx="27">
                  <c:v>35</c:v>
                </c:pt>
                <c:pt idx="28">
                  <c:v>36</c:v>
                </c:pt>
                <c:pt idx="29">
                  <c:v>37</c:v>
                </c:pt>
                <c:pt idx="30">
                  <c:v>38</c:v>
                </c:pt>
                <c:pt idx="31">
                  <c:v>39</c:v>
                </c:pt>
                <c:pt idx="32">
                  <c:v>40</c:v>
                </c:pt>
                <c:pt idx="33">
                  <c:v>41</c:v>
                </c:pt>
              </c:numCache>
            </c:numRef>
          </c:cat>
          <c:val>
            <c:numRef>
              <c:f>Sheet2!$S$3:$S$36</c:f>
              <c:numCache>
                <c:formatCode>General</c:formatCode>
                <c:ptCount val="34"/>
                <c:pt idx="0">
                  <c:v>3.9156836741816151E-2</c:v>
                </c:pt>
                <c:pt idx="1">
                  <c:v>7.9500244293990371E-2</c:v>
                </c:pt>
                <c:pt idx="2">
                  <c:v>0.12435262092552522</c:v>
                </c:pt>
                <c:pt idx="3">
                  <c:v>0.14120192643260976</c:v>
                </c:pt>
                <c:pt idx="4">
                  <c:v>0.21832902910588398</c:v>
                </c:pt>
                <c:pt idx="5">
                  <c:v>0.23351713547846722</c:v>
                </c:pt>
                <c:pt idx="6">
                  <c:v>0.24229775947511689</c:v>
                </c:pt>
                <c:pt idx="7">
                  <c:v>0.25629929503734206</c:v>
                </c:pt>
                <c:pt idx="8">
                  <c:v>0.27101277308578209</c:v>
                </c:pt>
                <c:pt idx="9">
                  <c:v>0.29379493264465695</c:v>
                </c:pt>
                <c:pt idx="10">
                  <c:v>0.32630697284846794</c:v>
                </c:pt>
                <c:pt idx="11">
                  <c:v>0.32606965868639631</c:v>
                </c:pt>
                <c:pt idx="12">
                  <c:v>0.33390102603475952</c:v>
                </c:pt>
                <c:pt idx="13">
                  <c:v>0.356920499755706</c:v>
                </c:pt>
                <c:pt idx="14">
                  <c:v>0.39370419487680602</c:v>
                </c:pt>
                <c:pt idx="15">
                  <c:v>0.40272213303552729</c:v>
                </c:pt>
                <c:pt idx="16">
                  <c:v>0.40082361973895442</c:v>
                </c:pt>
                <c:pt idx="17">
                  <c:v>0.40604453130452989</c:v>
                </c:pt>
                <c:pt idx="18">
                  <c:v>0.42882669086340475</c:v>
                </c:pt>
                <c:pt idx="19">
                  <c:v>0.44306554058770153</c:v>
                </c:pt>
                <c:pt idx="20">
                  <c:v>0.44448942556013121</c:v>
                </c:pt>
                <c:pt idx="21">
                  <c:v>0.4648984434982899</c:v>
                </c:pt>
                <c:pt idx="22">
                  <c:v>0.47272981084665316</c:v>
                </c:pt>
                <c:pt idx="23">
                  <c:v>0.48340894813987573</c:v>
                </c:pt>
                <c:pt idx="24">
                  <c:v>0.51449710337125709</c:v>
                </c:pt>
                <c:pt idx="25">
                  <c:v>0.52185384239547705</c:v>
                </c:pt>
                <c:pt idx="26">
                  <c:v>0.54083897536120606</c:v>
                </c:pt>
                <c:pt idx="27">
                  <c:v>0.55128079849235712</c:v>
                </c:pt>
                <c:pt idx="28">
                  <c:v>0.55175542681650025</c:v>
                </c:pt>
                <c:pt idx="29">
                  <c:v>0.550094227681999</c:v>
                </c:pt>
                <c:pt idx="30">
                  <c:v>0.57382564388916035</c:v>
                </c:pt>
                <c:pt idx="31">
                  <c:v>0.57430027221330349</c:v>
                </c:pt>
                <c:pt idx="32">
                  <c:v>0.59281077685488937</c:v>
                </c:pt>
                <c:pt idx="33">
                  <c:v>0.60681231241711453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5F-8A47-B388-21F1719A0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5057952"/>
        <c:axId val="1259499168"/>
      </c:lineChart>
      <c:catAx>
        <c:axId val="1215057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Slide</a:t>
                </a:r>
                <a:r>
                  <a:rPr lang="en-US" baseline="0"/>
                  <a:t> Depth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499168"/>
        <c:crosses val="autoZero"/>
        <c:auto val="1"/>
        <c:lblAlgn val="ctr"/>
        <c:lblOffset val="100"/>
        <c:noMultiLvlLbl val="0"/>
      </c:catAx>
      <c:valAx>
        <c:axId val="125949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</a:t>
                </a:r>
                <a:r>
                  <a:rPr lang="en-US" baseline="0"/>
                  <a:t>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05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PA5</a:t>
            </a:r>
            <a:r>
              <a:rPr lang="en-US" baseline="0"/>
              <a:t> Width/Whole and Width/Avg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H/Wh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7.9944549184873016E-3"/>
                  <c:y val="0.1944400309336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Sheet2!$U$3:$U$36</c:f>
              <c:numCache>
                <c:formatCode>General</c:formatCode>
                <c:ptCount val="34"/>
                <c:pt idx="0">
                  <c:v>3.8657913931436909E-2</c:v>
                </c:pt>
                <c:pt idx="1">
                  <c:v>6.3907933398628797E-2</c:v>
                </c:pt>
                <c:pt idx="2">
                  <c:v>8.6606243705941596E-2</c:v>
                </c:pt>
                <c:pt idx="3">
                  <c:v>9.3186372745490978E-2</c:v>
                </c:pt>
                <c:pt idx="4">
                  <c:v>0.15594302554027506</c:v>
                </c:pt>
                <c:pt idx="5">
                  <c:v>0.14630071599045347</c:v>
                </c:pt>
                <c:pt idx="6">
                  <c:v>0.18542713567839195</c:v>
                </c:pt>
                <c:pt idx="7">
                  <c:v>0.18534267133566784</c:v>
                </c:pt>
                <c:pt idx="8">
                  <c:v>0.19837439674879351</c:v>
                </c:pt>
                <c:pt idx="9">
                  <c:v>0.20709630702389573</c:v>
                </c:pt>
                <c:pt idx="10">
                  <c:v>0.21575938354461843</c:v>
                </c:pt>
                <c:pt idx="11">
                  <c:v>0.23097302504816955</c:v>
                </c:pt>
                <c:pt idx="12">
                  <c:v>0.23709639406080604</c:v>
                </c:pt>
                <c:pt idx="13">
                  <c:v>0.22938029424877396</c:v>
                </c:pt>
                <c:pt idx="14">
                  <c:v>0.27605502448123104</c:v>
                </c:pt>
                <c:pt idx="15">
                  <c:v>0.25397923875432526</c:v>
                </c:pt>
                <c:pt idx="16">
                  <c:v>0.29637577491654743</c:v>
                </c:pt>
                <c:pt idx="17">
                  <c:v>0.29029940119760478</c:v>
                </c:pt>
                <c:pt idx="18">
                  <c:v>0.28851999064765022</c:v>
                </c:pt>
                <c:pt idx="19">
                  <c:v>0.30152403282532242</c:v>
                </c:pt>
                <c:pt idx="20">
                  <c:v>0.29098455153331798</c:v>
                </c:pt>
                <c:pt idx="21">
                  <c:v>0.30466369814858213</c:v>
                </c:pt>
                <c:pt idx="22">
                  <c:v>0.32291920917744693</c:v>
                </c:pt>
                <c:pt idx="23">
                  <c:v>0.31321637426900584</c:v>
                </c:pt>
                <c:pt idx="24">
                  <c:v>0.32446311858076565</c:v>
                </c:pt>
                <c:pt idx="25">
                  <c:v>0.31650845103033109</c:v>
                </c:pt>
                <c:pt idx="26">
                  <c:v>0.32383773928896992</c:v>
                </c:pt>
                <c:pt idx="27">
                  <c:v>0.32006442705936494</c:v>
                </c:pt>
                <c:pt idx="28">
                  <c:v>0.32169117647058826</c:v>
                </c:pt>
                <c:pt idx="29">
                  <c:v>0.31711217729038155</c:v>
                </c:pt>
                <c:pt idx="30">
                  <c:v>0.32127318525303411</c:v>
                </c:pt>
                <c:pt idx="31">
                  <c:v>0.32172083235913024</c:v>
                </c:pt>
                <c:pt idx="32">
                  <c:v>0.31443653890291484</c:v>
                </c:pt>
                <c:pt idx="33">
                  <c:v>0.31181797074529838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76-4743-B234-3CBC1F1ADD45}"/>
            </c:ext>
          </c:extLst>
        </c:ser>
        <c:ser>
          <c:idx val="1"/>
          <c:order val="1"/>
          <c:tx>
            <c:v>H/Avg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4.694210934900743E-2"/>
                  <c:y val="-9.9267786839145111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>
                        <a:solidFill>
                          <a:schemeClr val="accent5"/>
                        </a:solidFill>
                      </a:rPr>
                      <a:t>y = -0.0004x</a:t>
                    </a:r>
                    <a:r>
                      <a:rPr lang="en-US" sz="1400" baseline="30000">
                        <a:solidFill>
                          <a:schemeClr val="accent5"/>
                        </a:solidFill>
                      </a:rPr>
                      <a:t>2</a:t>
                    </a:r>
                    <a:r>
                      <a:rPr lang="en-US" sz="1400" baseline="0">
                        <a:solidFill>
                          <a:schemeClr val="accent5"/>
                        </a:solidFill>
                      </a:rPr>
                      <a:t> + 0.0214x + 0.0256</a:t>
                    </a:r>
                    <a:br>
                      <a:rPr lang="en-US" sz="1400" baseline="0">
                        <a:solidFill>
                          <a:schemeClr val="accent5"/>
                        </a:solidFill>
                      </a:rPr>
                    </a:br>
                    <a:r>
                      <a:rPr lang="en-US" sz="1400" baseline="0">
                        <a:solidFill>
                          <a:schemeClr val="accent5"/>
                        </a:solidFill>
                      </a:rPr>
                      <a:t>R² = 0.9898</a:t>
                    </a:r>
                    <a:endParaRPr lang="en-US" sz="1400">
                      <a:solidFill>
                        <a:schemeClr val="accent5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Sheet2!$V$3:$V$36</c:f>
              <c:numCache>
                <c:formatCode>General</c:formatCode>
                <c:ptCount val="34"/>
                <c:pt idx="0">
                  <c:v>3.7732951769386472E-2</c:v>
                </c:pt>
                <c:pt idx="1">
                  <c:v>6.1938996300691003E-2</c:v>
                </c:pt>
                <c:pt idx="2">
                  <c:v>8.1636071752634876E-2</c:v>
                </c:pt>
                <c:pt idx="3">
                  <c:v>8.8280868290640052E-2</c:v>
                </c:pt>
                <c:pt idx="4">
                  <c:v>0.15069449291547427</c:v>
                </c:pt>
                <c:pt idx="5">
                  <c:v>0.1454735813498988</c:v>
                </c:pt>
                <c:pt idx="6">
                  <c:v>0.17513785160885043</c:v>
                </c:pt>
                <c:pt idx="7">
                  <c:v>0.17584979409506526</c:v>
                </c:pt>
                <c:pt idx="8">
                  <c:v>0.18534236057792977</c:v>
                </c:pt>
                <c:pt idx="9">
                  <c:v>0.20361555105744397</c:v>
                </c:pt>
                <c:pt idx="10">
                  <c:v>0.20598869267816011</c:v>
                </c:pt>
                <c:pt idx="11">
                  <c:v>0.22758428142667689</c:v>
                </c:pt>
                <c:pt idx="12">
                  <c:v>0.23873804704404269</c:v>
                </c:pt>
                <c:pt idx="13">
                  <c:v>0.24419627277168982</c:v>
                </c:pt>
                <c:pt idx="14">
                  <c:v>0.28097996789278984</c:v>
                </c:pt>
                <c:pt idx="15">
                  <c:v>0.26128289244084596</c:v>
                </c:pt>
                <c:pt idx="16">
                  <c:v>0.294981503455015</c:v>
                </c:pt>
                <c:pt idx="17">
                  <c:v>0.28762476443079499</c:v>
                </c:pt>
                <c:pt idx="18">
                  <c:v>0.29284567599637046</c:v>
                </c:pt>
                <c:pt idx="19">
                  <c:v>0.30518601242409438</c:v>
                </c:pt>
                <c:pt idx="20">
                  <c:v>0.29949047253437566</c:v>
                </c:pt>
                <c:pt idx="21">
                  <c:v>0.30850841069309692</c:v>
                </c:pt>
                <c:pt idx="22">
                  <c:v>0.31396663642074402</c:v>
                </c:pt>
                <c:pt idx="23">
                  <c:v>0.31776366301388986</c:v>
                </c:pt>
                <c:pt idx="24">
                  <c:v>0.3298666852795421</c:v>
                </c:pt>
                <c:pt idx="25">
                  <c:v>0.32440845955189501</c:v>
                </c:pt>
                <c:pt idx="26">
                  <c:v>0.33722342430376212</c:v>
                </c:pt>
                <c:pt idx="27">
                  <c:v>0.33010399944161373</c:v>
                </c:pt>
                <c:pt idx="28">
                  <c:v>0.33223982690025822</c:v>
                </c:pt>
                <c:pt idx="29">
                  <c:v>0.32939205695539886</c:v>
                </c:pt>
                <c:pt idx="30">
                  <c:v>0.33295176938647308</c:v>
                </c:pt>
                <c:pt idx="31">
                  <c:v>0.3265442870105395</c:v>
                </c:pt>
                <c:pt idx="32">
                  <c:v>0.32512040203810982</c:v>
                </c:pt>
                <c:pt idx="33">
                  <c:v>0.3187129196621763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76-4743-B234-3CBC1F1AD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0916176"/>
        <c:axId val="1235518800"/>
      </c:lineChart>
      <c:catAx>
        <c:axId val="1640916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Slide</a:t>
                </a:r>
                <a:r>
                  <a:rPr lang="en-US" baseline="0"/>
                  <a:t> Depth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18800"/>
        <c:crosses val="autoZero"/>
        <c:auto val="1"/>
        <c:lblAlgn val="ctr"/>
        <c:lblOffset val="100"/>
        <c:noMultiLvlLbl val="0"/>
      </c:catAx>
      <c:valAx>
        <c:axId val="123551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</a:t>
                </a:r>
                <a:r>
                  <a:rPr lang="en-US" baseline="0"/>
                  <a:t>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91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PA2 Height/Whole and Height/Avg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Sheet2!$AB$2</c:f>
              <c:strCache>
                <c:ptCount val="1"/>
                <c:pt idx="0">
                  <c:v>H/Wh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7030A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256023357495707E-3"/>
                  <c:y val="0.1369638400322692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y = 0.0143x + 0.1245</a:t>
                    </a:r>
                    <a:br>
                      <a:rPr lang="en-US" sz="1400" baseline="0"/>
                    </a:br>
                    <a:r>
                      <a:rPr lang="en-US" sz="1400" baseline="0"/>
                      <a:t>R² = 0.9524</a:t>
                    </a:r>
                    <a:endParaRPr lang="en-US" sz="1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Sheet2!$AD$3:$AD$34</c:f>
              <c:numCache>
                <c:formatCode>General</c:formatCode>
                <c:ptCount val="3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30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38</c:v>
                </c:pt>
                <c:pt idx="30">
                  <c:v>39</c:v>
                </c:pt>
                <c:pt idx="31">
                  <c:v>40</c:v>
                </c:pt>
              </c:numCache>
            </c:numRef>
          </c:cat>
          <c:val>
            <c:numRef>
              <c:f>Sheet2!$AB$3:$AB$34</c:f>
              <c:numCache>
                <c:formatCode>General</c:formatCode>
                <c:ptCount val="32"/>
                <c:pt idx="0">
                  <c:v>7.0645554202192443E-2</c:v>
                </c:pt>
                <c:pt idx="1">
                  <c:v>9.8414296501384349E-2</c:v>
                </c:pt>
                <c:pt idx="2">
                  <c:v>0.11707566462167689</c:v>
                </c:pt>
                <c:pt idx="3">
                  <c:v>0.13666121112929625</c:v>
                </c:pt>
                <c:pt idx="4">
                  <c:v>0.1868185122364914</c:v>
                </c:pt>
                <c:pt idx="5">
                  <c:v>0.26474660758792579</c:v>
                </c:pt>
                <c:pt idx="6">
                  <c:v>0.23974236641221375</c:v>
                </c:pt>
                <c:pt idx="7">
                  <c:v>0.27443428021184402</c:v>
                </c:pt>
                <c:pt idx="8">
                  <c:v>0.26137662931625888</c:v>
                </c:pt>
                <c:pt idx="9">
                  <c:v>0.29378794955628212</c:v>
                </c:pt>
                <c:pt idx="10">
                  <c:v>0.31744008159102499</c:v>
                </c:pt>
                <c:pt idx="11">
                  <c:v>0.30951327433628317</c:v>
                </c:pt>
                <c:pt idx="12">
                  <c:v>0.32077185017026105</c:v>
                </c:pt>
                <c:pt idx="13">
                  <c:v>0.33932988531594332</c:v>
                </c:pt>
                <c:pt idx="14">
                  <c:v>0.37906309751434036</c:v>
                </c:pt>
                <c:pt idx="15">
                  <c:v>0.37935717519239476</c:v>
                </c:pt>
                <c:pt idx="16">
                  <c:v>0.38787317750520711</c:v>
                </c:pt>
                <c:pt idx="17">
                  <c:v>0.39940421631530704</c:v>
                </c:pt>
                <c:pt idx="18">
                  <c:v>0.42835164835164835</c:v>
                </c:pt>
                <c:pt idx="19">
                  <c:v>0.42007839721254353</c:v>
                </c:pt>
                <c:pt idx="20">
                  <c:v>0.44456545414942278</c:v>
                </c:pt>
                <c:pt idx="21">
                  <c:v>0.41668486569119895</c:v>
                </c:pt>
                <c:pt idx="22">
                  <c:v>0.46338273757628595</c:v>
                </c:pt>
                <c:pt idx="23">
                  <c:v>0.47720230190349711</c:v>
                </c:pt>
                <c:pt idx="24">
                  <c:v>0.47631935047361301</c:v>
                </c:pt>
                <c:pt idx="25">
                  <c:v>0.47945501730103807</c:v>
                </c:pt>
                <c:pt idx="26">
                  <c:v>0.50252691716106346</c:v>
                </c:pt>
                <c:pt idx="27">
                  <c:v>0.49762316335350043</c:v>
                </c:pt>
                <c:pt idx="28">
                  <c:v>0.53110047846889952</c:v>
                </c:pt>
                <c:pt idx="29">
                  <c:v>0.518494484101233</c:v>
                </c:pt>
                <c:pt idx="30">
                  <c:v>0.56537180910099893</c:v>
                </c:pt>
                <c:pt idx="31">
                  <c:v>0.54888358985475827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B8-4144-893A-84A3EFCD3478}"/>
            </c:ext>
          </c:extLst>
        </c:ser>
        <c:ser>
          <c:idx val="1"/>
          <c:order val="1"/>
          <c:tx>
            <c:strRef>
              <c:f>Sheet2!$AC$2</c:f>
              <c:strCache>
                <c:ptCount val="1"/>
                <c:pt idx="0">
                  <c:v>H/Avg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y = 0.016x + 0.1034</a:t>
                    </a:r>
                    <a:br>
                      <a:rPr lang="en-US" sz="1400" baseline="0"/>
                    </a:br>
                    <a:r>
                      <a:rPr lang="en-US" sz="1400" baseline="0"/>
                      <a:t>R² = 0.9683</a:t>
                    </a:r>
                    <a:endParaRPr lang="en-US" sz="1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Sheet2!$AD$3:$AD$34</c:f>
              <c:numCache>
                <c:formatCode>General</c:formatCode>
                <c:ptCount val="3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30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38</c:v>
                </c:pt>
                <c:pt idx="30">
                  <c:v>39</c:v>
                </c:pt>
                <c:pt idx="31">
                  <c:v>40</c:v>
                </c:pt>
              </c:numCache>
            </c:numRef>
          </c:cat>
          <c:val>
            <c:numRef>
              <c:f>Sheet2!$AC$3:$AC$34</c:f>
              <c:numCache>
                <c:formatCode>General</c:formatCode>
                <c:ptCount val="32"/>
                <c:pt idx="0">
                  <c:v>6.6877580876471054E-2</c:v>
                </c:pt>
                <c:pt idx="1">
                  <c:v>9.0169428009310978E-2</c:v>
                </c:pt>
                <c:pt idx="2">
                  <c:v>0.10562045531525428</c:v>
                </c:pt>
                <c:pt idx="3">
                  <c:v>0.11553678627279999</c:v>
                </c:pt>
                <c:pt idx="4">
                  <c:v>0.17780212019227304</c:v>
                </c:pt>
                <c:pt idx="5">
                  <c:v>0.22046540454450458</c:v>
                </c:pt>
                <c:pt idx="6">
                  <c:v>0.23176540958914968</c:v>
                </c:pt>
                <c:pt idx="7">
                  <c:v>0.26289807654888619</c:v>
                </c:pt>
                <c:pt idx="8">
                  <c:v>0.26358991359243594</c:v>
                </c:pt>
                <c:pt idx="9">
                  <c:v>0.29011033359517446</c:v>
                </c:pt>
                <c:pt idx="10">
                  <c:v>0.28711237307312576</c:v>
                </c:pt>
                <c:pt idx="11">
                  <c:v>0.32262667464201034</c:v>
                </c:pt>
                <c:pt idx="12">
                  <c:v>0.32585524751190897</c:v>
                </c:pt>
                <c:pt idx="13">
                  <c:v>0.34799403290549941</c:v>
                </c:pt>
                <c:pt idx="14">
                  <c:v>0.36575118368994169</c:v>
                </c:pt>
                <c:pt idx="15">
                  <c:v>0.38650629499643274</c:v>
                </c:pt>
                <c:pt idx="16">
                  <c:v>0.38650629499643274</c:v>
                </c:pt>
                <c:pt idx="17">
                  <c:v>0.40195732230237602</c:v>
                </c:pt>
                <c:pt idx="18">
                  <c:v>0.44946346595945547</c:v>
                </c:pt>
                <c:pt idx="19">
                  <c:v>0.44485121900245744</c:v>
                </c:pt>
                <c:pt idx="20">
                  <c:v>0.47067980196164627</c:v>
                </c:pt>
                <c:pt idx="21">
                  <c:v>0.44000835969760954</c:v>
                </c:pt>
                <c:pt idx="22">
                  <c:v>0.49028185152888781</c:v>
                </c:pt>
                <c:pt idx="23">
                  <c:v>0.49720022196438479</c:v>
                </c:pt>
                <c:pt idx="24">
                  <c:v>0.48705327865898917</c:v>
                </c:pt>
                <c:pt idx="25">
                  <c:v>0.51126757518322874</c:v>
                </c:pt>
                <c:pt idx="26">
                  <c:v>0.52741043953272171</c:v>
                </c:pt>
                <c:pt idx="27">
                  <c:v>0.5311002370983201</c:v>
                </c:pt>
                <c:pt idx="28">
                  <c:v>0.53755738283811738</c:v>
                </c:pt>
                <c:pt idx="29">
                  <c:v>0.55277779779621072</c:v>
                </c:pt>
                <c:pt idx="30">
                  <c:v>0.58736964997369578</c:v>
                </c:pt>
                <c:pt idx="31">
                  <c:v>0.58391046475594732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B8-4144-893A-84A3EFCD3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9034064"/>
        <c:axId val="1355721312"/>
      </c:lineChart>
      <c:catAx>
        <c:axId val="79903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Slide 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21312"/>
        <c:crosses val="autoZero"/>
        <c:auto val="1"/>
        <c:lblAlgn val="ctr"/>
        <c:lblOffset val="100"/>
        <c:noMultiLvlLbl val="0"/>
      </c:catAx>
      <c:valAx>
        <c:axId val="13557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</a:t>
                </a:r>
                <a:r>
                  <a:rPr lang="en-US" baseline="0"/>
                  <a:t>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03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PA2 Width/Whole</a:t>
            </a:r>
            <a:r>
              <a:rPr lang="en-US" baseline="0"/>
              <a:t> and Width/Avg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Sheet2!$AE$2</c:f>
              <c:strCache>
                <c:ptCount val="1"/>
                <c:pt idx="0">
                  <c:v>W/Wh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7030A0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3.3790608054441512E-4"/>
                  <c:y val="0.1476329511887009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>
                        <a:solidFill>
                          <a:srgbClr val="7030A0"/>
                        </a:solidFill>
                      </a:rPr>
                      <a:t>y = -0.0004x</a:t>
                    </a:r>
                    <a:r>
                      <a:rPr lang="en-US" sz="1400" baseline="30000">
                        <a:solidFill>
                          <a:srgbClr val="7030A0"/>
                        </a:solidFill>
                      </a:rPr>
                      <a:t>2</a:t>
                    </a:r>
                    <a:r>
                      <a:rPr lang="en-US" sz="1400" baseline="0">
                        <a:solidFill>
                          <a:srgbClr val="7030A0"/>
                        </a:solidFill>
                      </a:rPr>
                      <a:t> + 0.0198x + 0.0642</a:t>
                    </a:r>
                    <a:br>
                      <a:rPr lang="en-US" sz="1400" baseline="0">
                        <a:solidFill>
                          <a:srgbClr val="7030A0"/>
                        </a:solidFill>
                      </a:rPr>
                    </a:br>
                    <a:r>
                      <a:rPr lang="en-US" sz="1400" baseline="0">
                        <a:solidFill>
                          <a:srgbClr val="7030A0"/>
                        </a:solidFill>
                      </a:rPr>
                      <a:t>R² = 0.9545</a:t>
                    </a:r>
                    <a:endParaRPr lang="en-US" sz="1400">
                      <a:solidFill>
                        <a:srgbClr val="7030A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Sheet2!$AE$3:$AE$34</c:f>
              <c:numCache>
                <c:formatCode>General</c:formatCode>
                <c:ptCount val="32"/>
                <c:pt idx="0">
                  <c:v>6.090133982947625E-2</c:v>
                </c:pt>
                <c:pt idx="1">
                  <c:v>9.3128618172665489E-2</c:v>
                </c:pt>
                <c:pt idx="2">
                  <c:v>0.10250511247443762</c:v>
                </c:pt>
                <c:pt idx="3">
                  <c:v>0.14348063284233498</c:v>
                </c:pt>
                <c:pt idx="4">
                  <c:v>0.14417252241337533</c:v>
                </c:pt>
                <c:pt idx="5">
                  <c:v>0.20797563001938521</c:v>
                </c:pt>
                <c:pt idx="6">
                  <c:v>0.19441793893129772</c:v>
                </c:pt>
                <c:pt idx="7">
                  <c:v>0.21593644679826673</c:v>
                </c:pt>
                <c:pt idx="8">
                  <c:v>0.207409101303453</c:v>
                </c:pt>
                <c:pt idx="9">
                  <c:v>0.22442783745913125</c:v>
                </c:pt>
                <c:pt idx="10">
                  <c:v>0.26262111167771546</c:v>
                </c:pt>
                <c:pt idx="11">
                  <c:v>0.23163716814159291</c:v>
                </c:pt>
                <c:pt idx="12">
                  <c:v>0.2572077185017026</c:v>
                </c:pt>
                <c:pt idx="13">
                  <c:v>0.2550033730604902</c:v>
                </c:pt>
                <c:pt idx="14">
                  <c:v>0.27461759082217974</c:v>
                </c:pt>
                <c:pt idx="15">
                  <c:v>0.27863286555002265</c:v>
                </c:pt>
                <c:pt idx="16">
                  <c:v>0.29275630641055311</c:v>
                </c:pt>
                <c:pt idx="17">
                  <c:v>0.31828597616865262</c:v>
                </c:pt>
                <c:pt idx="18">
                  <c:v>0.30461538461538462</c:v>
                </c:pt>
                <c:pt idx="19">
                  <c:v>0.28527874564459932</c:v>
                </c:pt>
                <c:pt idx="20">
                  <c:v>0.29100413853191026</c:v>
                </c:pt>
                <c:pt idx="21">
                  <c:v>0.29810002183882944</c:v>
                </c:pt>
                <c:pt idx="22">
                  <c:v>0.28356582388840451</c:v>
                </c:pt>
                <c:pt idx="23">
                  <c:v>0.31451969898185039</c:v>
                </c:pt>
                <c:pt idx="24">
                  <c:v>0.30626973387460532</c:v>
                </c:pt>
                <c:pt idx="25">
                  <c:v>0.29325259515570934</c:v>
                </c:pt>
                <c:pt idx="26">
                  <c:v>0.3139969237530213</c:v>
                </c:pt>
                <c:pt idx="27">
                  <c:v>0.30121002592912705</c:v>
                </c:pt>
                <c:pt idx="28">
                  <c:v>0.30576441102756891</c:v>
                </c:pt>
                <c:pt idx="29">
                  <c:v>0.30694354315379624</c:v>
                </c:pt>
                <c:pt idx="30">
                  <c:v>0.31897891231964481</c:v>
                </c:pt>
                <c:pt idx="31">
                  <c:v>0.30847604595707784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24-6A48-B371-1E0A86C8A2AD}"/>
            </c:ext>
          </c:extLst>
        </c:ser>
        <c:ser>
          <c:idx val="1"/>
          <c:order val="1"/>
          <c:tx>
            <c:strRef>
              <c:f>Sheet2!$AF$2</c:f>
              <c:strCache>
                <c:ptCount val="1"/>
                <c:pt idx="0">
                  <c:v>W/Avg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6.7598180053147161E-2"/>
                  <c:y val="-7.1850726138122961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>
                        <a:solidFill>
                          <a:schemeClr val="accent3"/>
                        </a:solidFill>
                      </a:rPr>
                      <a:t>y = -0.0004x</a:t>
                    </a:r>
                    <a:r>
                      <a:rPr lang="en-US" sz="1400" baseline="30000">
                        <a:solidFill>
                          <a:schemeClr val="accent3"/>
                        </a:solidFill>
                      </a:rPr>
                      <a:t>2</a:t>
                    </a:r>
                    <a:r>
                      <a:rPr lang="en-US" sz="1400" baseline="0">
                        <a:solidFill>
                          <a:schemeClr val="accent3"/>
                        </a:solidFill>
                      </a:rPr>
                      <a:t> + 0.0214x + 0.0461</a:t>
                    </a:r>
                    <a:br>
                      <a:rPr lang="en-US" sz="1400" baseline="0">
                        <a:solidFill>
                          <a:schemeClr val="accent3"/>
                        </a:solidFill>
                      </a:rPr>
                    </a:br>
                    <a:r>
                      <a:rPr lang="en-US" sz="1400" baseline="0">
                        <a:solidFill>
                          <a:schemeClr val="accent3"/>
                        </a:solidFill>
                      </a:rPr>
                      <a:t>R² = 0.983</a:t>
                    </a:r>
                    <a:endParaRPr lang="en-US" sz="1400">
                      <a:solidFill>
                        <a:schemeClr val="accent3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Sheet2!$AF$3:$AF$34</c:f>
              <c:numCache>
                <c:formatCode>General</c:formatCode>
                <c:ptCount val="32"/>
                <c:pt idx="0">
                  <c:v>5.765308696247505E-2</c:v>
                </c:pt>
                <c:pt idx="1">
                  <c:v>8.5326568704463063E-2</c:v>
                </c:pt>
                <c:pt idx="2">
                  <c:v>9.2475551487809976E-2</c:v>
                </c:pt>
                <c:pt idx="3">
                  <c:v>0.12130209496904749</c:v>
                </c:pt>
                <c:pt idx="4">
                  <c:v>0.1372143469706906</c:v>
                </c:pt>
                <c:pt idx="5">
                  <c:v>0.17318987323527504</c:v>
                </c:pt>
                <c:pt idx="6">
                  <c:v>0.18794906349766866</c:v>
                </c:pt>
                <c:pt idx="7">
                  <c:v>0.20685927602136048</c:v>
                </c:pt>
                <c:pt idx="8">
                  <c:v>0.20916539949985946</c:v>
                </c:pt>
                <c:pt idx="9">
                  <c:v>0.22161846628375409</c:v>
                </c:pt>
                <c:pt idx="10">
                  <c:v>0.23753071828539718</c:v>
                </c:pt>
                <c:pt idx="11">
                  <c:v>0.24145112819884551</c:v>
                </c:pt>
                <c:pt idx="12">
                  <c:v>0.26128379011393693</c:v>
                </c:pt>
                <c:pt idx="13">
                  <c:v>0.26151440246178681</c:v>
                </c:pt>
                <c:pt idx="14">
                  <c:v>0.26497358767953533</c:v>
                </c:pt>
                <c:pt idx="15">
                  <c:v>0.28388380020322712</c:v>
                </c:pt>
                <c:pt idx="16">
                  <c:v>0.29172462003012373</c:v>
                </c:pt>
                <c:pt idx="17">
                  <c:v>0.32032055116351138</c:v>
                </c:pt>
                <c:pt idx="18">
                  <c:v>0.31962871411996169</c:v>
                </c:pt>
                <c:pt idx="19">
                  <c:v>0.30210217568336922</c:v>
                </c:pt>
                <c:pt idx="20">
                  <c:v>0.30809809672746663</c:v>
                </c:pt>
                <c:pt idx="21">
                  <c:v>0.31478585481511373</c:v>
                </c:pt>
                <c:pt idx="22">
                  <c:v>0.30002666455272015</c:v>
                </c:pt>
                <c:pt idx="23">
                  <c:v>0.32770014629470817</c:v>
                </c:pt>
                <c:pt idx="24">
                  <c:v>0.31317156838016447</c:v>
                </c:pt>
                <c:pt idx="25">
                  <c:v>0.31271034368446465</c:v>
                </c:pt>
                <c:pt idx="26">
                  <c:v>0.32954504507750737</c:v>
                </c:pt>
                <c:pt idx="27">
                  <c:v>0.32147361290276089</c:v>
                </c:pt>
                <c:pt idx="28">
                  <c:v>0.30948177081456607</c:v>
                </c:pt>
                <c:pt idx="29">
                  <c:v>0.32723892159900836</c:v>
                </c:pt>
                <c:pt idx="30">
                  <c:v>0.33138994386030657</c:v>
                </c:pt>
                <c:pt idx="31">
                  <c:v>0.32816137099040799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24-6A48-B371-1E0A86C8A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9094096"/>
        <c:axId val="1354783312"/>
      </c:lineChart>
      <c:catAx>
        <c:axId val="799094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Slide</a:t>
                </a:r>
                <a:r>
                  <a:rPr lang="en-US" baseline="0"/>
                  <a:t> depth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783312"/>
        <c:crosses val="autoZero"/>
        <c:auto val="1"/>
        <c:lblAlgn val="ctr"/>
        <c:lblOffset val="100"/>
        <c:noMultiLvlLbl val="0"/>
      </c:catAx>
      <c:valAx>
        <c:axId val="135478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</a:t>
                </a:r>
                <a:r>
                  <a:rPr lang="en-US" baseline="0"/>
                  <a:t>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09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PA5 H/Wh and H/Avg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Sheet3!$E$2</c:f>
              <c:strCache>
                <c:ptCount val="1"/>
                <c:pt idx="0">
                  <c:v>H/Wh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041419274449607E-2"/>
                  <c:y val="0.247220418980120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>
                        <a:solidFill>
                          <a:schemeClr val="accent4"/>
                        </a:solidFill>
                      </a:rPr>
                      <a:t>y = 0.0121x + 0.1307</a:t>
                    </a:r>
                    <a:br>
                      <a:rPr lang="en-US" sz="1400" baseline="0">
                        <a:solidFill>
                          <a:schemeClr val="accent4"/>
                        </a:solidFill>
                      </a:rPr>
                    </a:br>
                    <a:r>
                      <a:rPr lang="en-US" sz="1400" baseline="0">
                        <a:solidFill>
                          <a:schemeClr val="accent4"/>
                        </a:solidFill>
                      </a:rPr>
                      <a:t>R² = 0.959</a:t>
                    </a:r>
                    <a:endParaRPr lang="en-US" sz="1400">
                      <a:solidFill>
                        <a:schemeClr val="accent4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Sheet3!$E$3:$E$42</c:f>
              <c:numCache>
                <c:formatCode>General</c:formatCode>
                <c:ptCount val="40"/>
                <c:pt idx="0">
                  <c:v>4.0116703136396793E-2</c:v>
                </c:pt>
                <c:pt idx="1">
                  <c:v>8.202742409402547E-2</c:v>
                </c:pt>
                <c:pt idx="2">
                  <c:v>0.13192346424974824</c:v>
                </c:pt>
                <c:pt idx="3">
                  <c:v>0.14904809619238477</c:v>
                </c:pt>
                <c:pt idx="4">
                  <c:v>0.1885</c:v>
                </c:pt>
                <c:pt idx="5">
                  <c:v>0.20289999999999997</c:v>
                </c:pt>
                <c:pt idx="6">
                  <c:v>0.22593320235756384</c:v>
                </c:pt>
                <c:pt idx="7">
                  <c:v>0.23484486873508353</c:v>
                </c:pt>
                <c:pt idx="8">
                  <c:v>0.25653266331658292</c:v>
                </c:pt>
                <c:pt idx="9">
                  <c:v>0.27013506753376687</c:v>
                </c:pt>
                <c:pt idx="10">
                  <c:v>0.29006858013716025</c:v>
                </c:pt>
                <c:pt idx="11">
                  <c:v>0.29881728216268405</c:v>
                </c:pt>
                <c:pt idx="12">
                  <c:v>0.34178473775789214</c:v>
                </c:pt>
                <c:pt idx="13">
                  <c:v>0.33092485549132949</c:v>
                </c:pt>
                <c:pt idx="14">
                  <c:v>0.33160499646476549</c:v>
                </c:pt>
                <c:pt idx="15">
                  <c:v>0.33526526972804283</c:v>
                </c:pt>
                <c:pt idx="16">
                  <c:v>0.36129999999999995</c:v>
                </c:pt>
                <c:pt idx="17">
                  <c:v>0.37569999999999998</c:v>
                </c:pt>
                <c:pt idx="18">
                  <c:v>0.38680345068780603</c:v>
                </c:pt>
                <c:pt idx="19">
                  <c:v>0.39146482122260667</c:v>
                </c:pt>
                <c:pt idx="20">
                  <c:v>0.40271816881258943</c:v>
                </c:pt>
                <c:pt idx="21">
                  <c:v>0.40982035928143712</c:v>
                </c:pt>
                <c:pt idx="22">
                  <c:v>0.42249240121580545</c:v>
                </c:pt>
                <c:pt idx="23">
                  <c:v>0.4377491207502931</c:v>
                </c:pt>
                <c:pt idx="24">
                  <c:v>0.43186534470832372</c:v>
                </c:pt>
                <c:pt idx="25">
                  <c:v>0.45910475744082496</c:v>
                </c:pt>
                <c:pt idx="26">
                  <c:v>0.48620942152794727</c:v>
                </c:pt>
                <c:pt idx="27">
                  <c:v>0.47649122807017547</c:v>
                </c:pt>
                <c:pt idx="28">
                  <c:v>0.4909</c:v>
                </c:pt>
                <c:pt idx="29">
                  <c:v>0.50529999999999997</c:v>
                </c:pt>
                <c:pt idx="30">
                  <c:v>0.5060690943043884</c:v>
                </c:pt>
                <c:pt idx="31">
                  <c:v>0.50914563556378789</c:v>
                </c:pt>
                <c:pt idx="32">
                  <c:v>0.51937101185050139</c:v>
                </c:pt>
                <c:pt idx="33">
                  <c:v>0.53451449608835711</c:v>
                </c:pt>
                <c:pt idx="34">
                  <c:v>0.53423713235294112</c:v>
                </c:pt>
                <c:pt idx="35">
                  <c:v>0.52958647475439802</c:v>
                </c:pt>
                <c:pt idx="36">
                  <c:v>0.55369819097778794</c:v>
                </c:pt>
                <c:pt idx="37">
                  <c:v>0.56581716156184236</c:v>
                </c:pt>
                <c:pt idx="38">
                  <c:v>0.57333027312370899</c:v>
                </c:pt>
                <c:pt idx="39">
                  <c:v>0.59368469932667756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CB-8745-BD41-4A13CFD23F57}"/>
            </c:ext>
          </c:extLst>
        </c:ser>
        <c:ser>
          <c:idx val="1"/>
          <c:order val="1"/>
          <c:tx>
            <c:strRef>
              <c:f>Sheet3!$F$2</c:f>
              <c:strCache>
                <c:ptCount val="1"/>
                <c:pt idx="0">
                  <c:v>H/Avg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4223519962769192E-2"/>
                  <c:y val="-1.583662371980417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>
                        <a:solidFill>
                          <a:schemeClr val="accent5"/>
                        </a:solidFill>
                      </a:rPr>
                      <a:t>y = 0.0129x + 0.119</a:t>
                    </a:r>
                    <a:br>
                      <a:rPr lang="en-US" sz="1400" baseline="0">
                        <a:solidFill>
                          <a:schemeClr val="accent5"/>
                        </a:solidFill>
                      </a:rPr>
                    </a:br>
                    <a:r>
                      <a:rPr lang="en-US" sz="1400" baseline="0">
                        <a:solidFill>
                          <a:schemeClr val="accent5"/>
                        </a:solidFill>
                      </a:rPr>
                      <a:t>R² = 0.969</a:t>
                    </a:r>
                    <a:endParaRPr lang="en-US" sz="1400">
                      <a:solidFill>
                        <a:schemeClr val="accent5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Sheet3!$F$3:$F$42</c:f>
              <c:numCache>
                <c:formatCode>General</c:formatCode>
                <c:ptCount val="40"/>
                <c:pt idx="0">
                  <c:v>3.9156836741816151E-2</c:v>
                </c:pt>
                <c:pt idx="1">
                  <c:v>7.9500244293990371E-2</c:v>
                </c:pt>
                <c:pt idx="2">
                  <c:v>0.12435262092552522</c:v>
                </c:pt>
                <c:pt idx="3">
                  <c:v>0.14120192643260976</c:v>
                </c:pt>
                <c:pt idx="4">
                  <c:v>0.18029999999999999</c:v>
                </c:pt>
                <c:pt idx="5">
                  <c:v>0.1956</c:v>
                </c:pt>
                <c:pt idx="6">
                  <c:v>0.21832902910588398</c:v>
                </c:pt>
                <c:pt idx="7">
                  <c:v>0.23351713547846722</c:v>
                </c:pt>
                <c:pt idx="8">
                  <c:v>0.24229775947511689</c:v>
                </c:pt>
                <c:pt idx="9">
                  <c:v>0.25629929503734206</c:v>
                </c:pt>
                <c:pt idx="10">
                  <c:v>0.27101277308578209</c:v>
                </c:pt>
                <c:pt idx="11">
                  <c:v>0.29379493264465695</c:v>
                </c:pt>
                <c:pt idx="12">
                  <c:v>0.32630697284846794</c:v>
                </c:pt>
                <c:pt idx="13">
                  <c:v>0.32606965868639631</c:v>
                </c:pt>
                <c:pt idx="14">
                  <c:v>0.33390102603475952</c:v>
                </c:pt>
                <c:pt idx="15">
                  <c:v>0.356920499755706</c:v>
                </c:pt>
                <c:pt idx="16">
                  <c:v>0.3639</c:v>
                </c:pt>
                <c:pt idx="17">
                  <c:v>0.37919999999999998</c:v>
                </c:pt>
                <c:pt idx="18">
                  <c:v>0.39370419487680602</c:v>
                </c:pt>
                <c:pt idx="19">
                  <c:v>0.40272213303552729</c:v>
                </c:pt>
                <c:pt idx="20">
                  <c:v>0.40082361973895442</c:v>
                </c:pt>
                <c:pt idx="21">
                  <c:v>0.40604453130452989</c:v>
                </c:pt>
                <c:pt idx="22">
                  <c:v>0.42882669086340475</c:v>
                </c:pt>
                <c:pt idx="23">
                  <c:v>0.44306554058770153</c:v>
                </c:pt>
                <c:pt idx="24">
                  <c:v>0.44448942556013121</c:v>
                </c:pt>
                <c:pt idx="25">
                  <c:v>0.4648984434982899</c:v>
                </c:pt>
                <c:pt idx="26">
                  <c:v>0.47272981084665316</c:v>
                </c:pt>
                <c:pt idx="27">
                  <c:v>0.48340894813987573</c:v>
                </c:pt>
                <c:pt idx="28">
                  <c:v>0.50160000000000005</c:v>
                </c:pt>
                <c:pt idx="29">
                  <c:v>0.51690000000000003</c:v>
                </c:pt>
                <c:pt idx="30">
                  <c:v>0.51449710337125709</c:v>
                </c:pt>
                <c:pt idx="31">
                  <c:v>0.52185384239547705</c:v>
                </c:pt>
                <c:pt idx="32">
                  <c:v>0.54083897536120606</c:v>
                </c:pt>
                <c:pt idx="33">
                  <c:v>0.55128079849235712</c:v>
                </c:pt>
                <c:pt idx="34">
                  <c:v>0.55175542681650025</c:v>
                </c:pt>
                <c:pt idx="35">
                  <c:v>0.550094227681999</c:v>
                </c:pt>
                <c:pt idx="36">
                  <c:v>0.57382564388916035</c:v>
                </c:pt>
                <c:pt idx="37">
                  <c:v>0.57430027221330349</c:v>
                </c:pt>
                <c:pt idx="38">
                  <c:v>0.59281077685488937</c:v>
                </c:pt>
                <c:pt idx="39">
                  <c:v>0.60681231241711453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CB-8745-BD41-4A13CFD23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3501184"/>
        <c:axId val="714034336"/>
      </c:lineChart>
      <c:catAx>
        <c:axId val="713501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Slice 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034336"/>
        <c:crosses val="autoZero"/>
        <c:auto val="1"/>
        <c:lblAlgn val="ctr"/>
        <c:lblOffset val="100"/>
        <c:noMultiLvlLbl val="0"/>
      </c:catAx>
      <c:valAx>
        <c:axId val="71403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</a:t>
                </a:r>
                <a:r>
                  <a:rPr lang="en-US" baseline="0"/>
                  <a:t>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50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PA4 H/Wh and</a:t>
            </a:r>
            <a:r>
              <a:rPr lang="en-US" baseline="0"/>
              <a:t> H/Avg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H/Wh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1675065122043533E-2"/>
                  <c:y val="0.1554321362648659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>
                        <a:solidFill>
                          <a:schemeClr val="accent1"/>
                        </a:solidFill>
                      </a:rPr>
                      <a:t>y = 0.0111x + 0.1895</a:t>
                    </a:r>
                    <a:br>
                      <a:rPr lang="en-US" sz="1400" baseline="0">
                        <a:solidFill>
                          <a:schemeClr val="accent1"/>
                        </a:solidFill>
                      </a:rPr>
                    </a:br>
                    <a:r>
                      <a:rPr lang="en-US" sz="1400" baseline="0">
                        <a:solidFill>
                          <a:schemeClr val="accent1"/>
                        </a:solidFill>
                      </a:rPr>
                      <a:t>R² = 0.9258</a:t>
                    </a:r>
                    <a:endParaRPr lang="en-US" sz="1400">
                      <a:solidFill>
                        <a:schemeClr val="accent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Sheet3!$E$50:$E$85</c:f>
              <c:numCache>
                <c:formatCode>General</c:formatCode>
                <c:ptCount val="36"/>
                <c:pt idx="0">
                  <c:v>0.11375</c:v>
                </c:pt>
                <c:pt idx="1">
                  <c:v>0.13770491803278689</c:v>
                </c:pt>
                <c:pt idx="2">
                  <c:v>0.17669654289372599</c:v>
                </c:pt>
                <c:pt idx="3">
                  <c:v>0.22745337817181291</c:v>
                </c:pt>
                <c:pt idx="4">
                  <c:v>0.25540472599296127</c:v>
                </c:pt>
                <c:pt idx="5">
                  <c:v>0.26596543951915852</c:v>
                </c:pt>
                <c:pt idx="6">
                  <c:v>0.27829594151751952</c:v>
                </c:pt>
                <c:pt idx="7">
                  <c:v>0.28878795123117379</c:v>
                </c:pt>
                <c:pt idx="8">
                  <c:v>0.30713943459511261</c:v>
                </c:pt>
                <c:pt idx="9">
                  <c:v>0.3080557524214505</c:v>
                </c:pt>
                <c:pt idx="10">
                  <c:v>0.32892839980778471</c:v>
                </c:pt>
                <c:pt idx="11">
                  <c:v>0.35591556210112912</c:v>
                </c:pt>
                <c:pt idx="12">
                  <c:v>0.35749999999999998</c:v>
                </c:pt>
                <c:pt idx="13">
                  <c:v>0.37049999999999994</c:v>
                </c:pt>
                <c:pt idx="14">
                  <c:v>0.37893518518518521</c:v>
                </c:pt>
                <c:pt idx="15">
                  <c:v>0.39881088497598904</c:v>
                </c:pt>
                <c:pt idx="16">
                  <c:v>0.41077207582061953</c:v>
                </c:pt>
                <c:pt idx="17">
                  <c:v>0.41365461847389556</c:v>
                </c:pt>
                <c:pt idx="18">
                  <c:v>0.40884718498659517</c:v>
                </c:pt>
                <c:pt idx="19">
                  <c:v>0.44769585253456223</c:v>
                </c:pt>
                <c:pt idx="20">
                  <c:v>0.43910183715128148</c:v>
                </c:pt>
                <c:pt idx="21">
                  <c:v>0.43913143913143915</c:v>
                </c:pt>
                <c:pt idx="22">
                  <c:v>0.45433841949442039</c:v>
                </c:pt>
                <c:pt idx="23">
                  <c:v>0.46568401658222019</c:v>
                </c:pt>
                <c:pt idx="24">
                  <c:v>0.47449999999999998</c:v>
                </c:pt>
                <c:pt idx="25">
                  <c:v>0.48749999999999999</c:v>
                </c:pt>
                <c:pt idx="26">
                  <c:v>0.49988342270925623</c:v>
                </c:pt>
                <c:pt idx="27">
                  <c:v>0.46348908194411836</c:v>
                </c:pt>
                <c:pt idx="28">
                  <c:v>0.4851551956815115</c:v>
                </c:pt>
                <c:pt idx="29">
                  <c:v>0.5095182138660399</c:v>
                </c:pt>
                <c:pt idx="30">
                  <c:v>0.49238009861048859</c:v>
                </c:pt>
                <c:pt idx="31">
                  <c:v>0.51066758430832759</c:v>
                </c:pt>
                <c:pt idx="32">
                  <c:v>0.53095940122476748</c:v>
                </c:pt>
                <c:pt idx="33">
                  <c:v>0.52317880794701987</c:v>
                </c:pt>
                <c:pt idx="34">
                  <c:v>0.64291348935051273</c:v>
                </c:pt>
                <c:pt idx="35">
                  <c:v>0.54039497307001794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E6-7A4D-9CB5-93C3BE87DE36}"/>
            </c:ext>
          </c:extLst>
        </c:ser>
        <c:ser>
          <c:idx val="1"/>
          <c:order val="1"/>
          <c:tx>
            <c:v>H/Avg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5497413671547414E-2"/>
                  <c:y val="-1.692173493150151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>
                        <a:solidFill>
                          <a:schemeClr val="accent2"/>
                        </a:solidFill>
                      </a:rPr>
                      <a:t>y = 0.012x + 0.177</a:t>
                    </a:r>
                    <a:br>
                      <a:rPr lang="en-US" sz="1400" baseline="0">
                        <a:solidFill>
                          <a:schemeClr val="accent2"/>
                        </a:solidFill>
                      </a:rPr>
                    </a:br>
                    <a:r>
                      <a:rPr lang="en-US" sz="1400" baseline="0">
                        <a:solidFill>
                          <a:schemeClr val="accent2"/>
                        </a:solidFill>
                      </a:rPr>
                      <a:t>R² = 0.9369</a:t>
                    </a:r>
                    <a:endParaRPr lang="en-US" sz="1400">
                      <a:solidFill>
                        <a:schemeClr val="accent2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Sheet3!$F$50:$F$85</c:f>
              <c:numCache>
                <c:formatCode>General</c:formatCode>
                <c:ptCount val="36"/>
                <c:pt idx="0">
                  <c:v>0.10820371430057743</c:v>
                </c:pt>
                <c:pt idx="1">
                  <c:v>0.12984445716069293</c:v>
                </c:pt>
                <c:pt idx="2">
                  <c:v>0.16408914915911743</c:v>
                </c:pt>
                <c:pt idx="3">
                  <c:v>0.17693090865852662</c:v>
                </c:pt>
                <c:pt idx="4">
                  <c:v>0.2416153268777729</c:v>
                </c:pt>
                <c:pt idx="5">
                  <c:v>0.25255460348838071</c:v>
                </c:pt>
                <c:pt idx="6">
                  <c:v>0.26254263865458788</c:v>
                </c:pt>
                <c:pt idx="7">
                  <c:v>0.28727491620900558</c:v>
                </c:pt>
                <c:pt idx="8">
                  <c:v>0.3048728829304182</c:v>
                </c:pt>
                <c:pt idx="9">
                  <c:v>0.31010471087462194</c:v>
                </c:pt>
                <c:pt idx="10">
                  <c:v>0.32556238434613299</c:v>
                </c:pt>
                <c:pt idx="11">
                  <c:v>0.34482502359524675</c:v>
                </c:pt>
                <c:pt idx="12">
                  <c:v>0.3594</c:v>
                </c:pt>
                <c:pt idx="13">
                  <c:v>0.3735</c:v>
                </c:pt>
                <c:pt idx="14">
                  <c:v>0.38929556112097857</c:v>
                </c:pt>
                <c:pt idx="15">
                  <c:v>0.4147412697586968</c:v>
                </c:pt>
                <c:pt idx="16">
                  <c:v>0.4225890116750024</c:v>
                </c:pt>
                <c:pt idx="17">
                  <c:v>0.41640594228639799</c:v>
                </c:pt>
                <c:pt idx="18">
                  <c:v>0.43519296081331144</c:v>
                </c:pt>
                <c:pt idx="19">
                  <c:v>0.46206553161763064</c:v>
                </c:pt>
                <c:pt idx="20">
                  <c:v>0.46040085908992945</c:v>
                </c:pt>
                <c:pt idx="21">
                  <c:v>0.45207749645142353</c:v>
                </c:pt>
                <c:pt idx="22">
                  <c:v>0.47443167039483952</c:v>
                </c:pt>
                <c:pt idx="23">
                  <c:v>0.48085255014454409</c:v>
                </c:pt>
                <c:pt idx="24">
                  <c:v>0.48629999999999995</c:v>
                </c:pt>
                <c:pt idx="25">
                  <c:v>0.50039999999999996</c:v>
                </c:pt>
                <c:pt idx="26">
                  <c:v>0.50986541419876485</c:v>
                </c:pt>
                <c:pt idx="27">
                  <c:v>0.46943765281173594</c:v>
                </c:pt>
                <c:pt idx="28">
                  <c:v>0.51295694889306709</c:v>
                </c:pt>
                <c:pt idx="29">
                  <c:v>0.5155728628651689</c:v>
                </c:pt>
                <c:pt idx="30">
                  <c:v>0.52246936333707394</c:v>
                </c:pt>
                <c:pt idx="31">
                  <c:v>0.52936586380897888</c:v>
                </c:pt>
                <c:pt idx="32">
                  <c:v>0.55671405533549845</c:v>
                </c:pt>
                <c:pt idx="33">
                  <c:v>0.54482353728048993</c:v>
                </c:pt>
                <c:pt idx="34">
                  <c:v>0.5814463328899161</c:v>
                </c:pt>
                <c:pt idx="35">
                  <c:v>0.57264734952920981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E6-7A4D-9CB5-93C3BE87D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8862000"/>
        <c:axId val="1397583568"/>
      </c:lineChart>
      <c:catAx>
        <c:axId val="1208862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Slice</a:t>
                </a:r>
                <a:r>
                  <a:rPr lang="en-US" baseline="0"/>
                  <a:t> Depth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583568"/>
        <c:crosses val="autoZero"/>
        <c:auto val="1"/>
        <c:lblAlgn val="ctr"/>
        <c:lblOffset val="100"/>
        <c:noMultiLvlLbl val="0"/>
      </c:catAx>
      <c:valAx>
        <c:axId val="139758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</a:t>
                </a:r>
                <a:r>
                  <a:rPr lang="en-US" baseline="0"/>
                  <a:t>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86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PA2 H/Wh</a:t>
            </a:r>
            <a:r>
              <a:rPr lang="en-US" baseline="0"/>
              <a:t> and H/Avg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Sheet3!$E$92</c:f>
              <c:strCache>
                <c:ptCount val="1"/>
                <c:pt idx="0">
                  <c:v>H/Wh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7030A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9130543668009694E-2"/>
                  <c:y val="0.1491077863601968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>
                        <a:solidFill>
                          <a:srgbClr val="7030A0"/>
                        </a:solidFill>
                      </a:rPr>
                      <a:t>y = 0.0119x + 0.1301</a:t>
                    </a:r>
                    <a:br>
                      <a:rPr lang="en-US" sz="1400" baseline="0">
                        <a:solidFill>
                          <a:srgbClr val="7030A0"/>
                        </a:solidFill>
                      </a:rPr>
                    </a:br>
                    <a:r>
                      <a:rPr lang="en-US" sz="1400" baseline="0">
                        <a:solidFill>
                          <a:srgbClr val="7030A0"/>
                        </a:solidFill>
                      </a:rPr>
                      <a:t>R² = 0.9594</a:t>
                    </a:r>
                    <a:endParaRPr lang="en-US" sz="1400">
                      <a:solidFill>
                        <a:srgbClr val="7030A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Sheet3!$E$93:$E$130</c:f>
              <c:numCache>
                <c:formatCode>General</c:formatCode>
                <c:ptCount val="38"/>
                <c:pt idx="0">
                  <c:v>7.0645554202192443E-2</c:v>
                </c:pt>
                <c:pt idx="1">
                  <c:v>9.8414296501384349E-2</c:v>
                </c:pt>
                <c:pt idx="2">
                  <c:v>0.11707566462167689</c:v>
                </c:pt>
                <c:pt idx="3">
                  <c:v>0.13666121112929625</c:v>
                </c:pt>
                <c:pt idx="4">
                  <c:v>0.1868185122364914</c:v>
                </c:pt>
                <c:pt idx="5">
                  <c:v>0.21029999999999999</c:v>
                </c:pt>
                <c:pt idx="6">
                  <c:v>0.22459999999999999</c:v>
                </c:pt>
                <c:pt idx="7">
                  <c:v>0.26474660758792579</c:v>
                </c:pt>
                <c:pt idx="8">
                  <c:v>0.23974236641221375</c:v>
                </c:pt>
                <c:pt idx="9">
                  <c:v>0.27443428021184402</c:v>
                </c:pt>
                <c:pt idx="10">
                  <c:v>0.26137662931625888</c:v>
                </c:pt>
                <c:pt idx="11">
                  <c:v>0.29378794955628212</c:v>
                </c:pt>
                <c:pt idx="12">
                  <c:v>0.31744008159102499</c:v>
                </c:pt>
                <c:pt idx="13">
                  <c:v>0.30951327433628317</c:v>
                </c:pt>
                <c:pt idx="14">
                  <c:v>0.32077185017026105</c:v>
                </c:pt>
                <c:pt idx="15">
                  <c:v>0.33932988531594332</c:v>
                </c:pt>
                <c:pt idx="16">
                  <c:v>0.37906309751434036</c:v>
                </c:pt>
                <c:pt idx="17">
                  <c:v>0.37935717519239476</c:v>
                </c:pt>
                <c:pt idx="18">
                  <c:v>0.38787317750520711</c:v>
                </c:pt>
                <c:pt idx="19">
                  <c:v>0.38190000000000002</c:v>
                </c:pt>
                <c:pt idx="20">
                  <c:v>0.3962</c:v>
                </c:pt>
                <c:pt idx="21">
                  <c:v>0.39940421631530704</c:v>
                </c:pt>
                <c:pt idx="22">
                  <c:v>0.42835164835164835</c:v>
                </c:pt>
                <c:pt idx="23">
                  <c:v>0.42007839721254353</c:v>
                </c:pt>
                <c:pt idx="24">
                  <c:v>0.44456545414942278</c:v>
                </c:pt>
                <c:pt idx="25">
                  <c:v>0.41668486569119895</c:v>
                </c:pt>
                <c:pt idx="26">
                  <c:v>0.46338273757628595</c:v>
                </c:pt>
                <c:pt idx="27">
                  <c:v>0.47720230190349711</c:v>
                </c:pt>
                <c:pt idx="28">
                  <c:v>0.47631935047361301</c:v>
                </c:pt>
                <c:pt idx="29">
                  <c:v>0.47945501730103807</c:v>
                </c:pt>
                <c:pt idx="30">
                  <c:v>0.50252691716106346</c:v>
                </c:pt>
                <c:pt idx="31">
                  <c:v>0.49762316335350043</c:v>
                </c:pt>
                <c:pt idx="32">
                  <c:v>0.53110047846889952</c:v>
                </c:pt>
                <c:pt idx="33">
                  <c:v>0.51059999999999994</c:v>
                </c:pt>
                <c:pt idx="34">
                  <c:v>0.52489999999999992</c:v>
                </c:pt>
                <c:pt idx="35">
                  <c:v>0.518494484101233</c:v>
                </c:pt>
                <c:pt idx="36">
                  <c:v>0.56537180910099893</c:v>
                </c:pt>
                <c:pt idx="37">
                  <c:v>0.54888358985475827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3F-1145-BB08-6D2C2D5AC3E4}"/>
            </c:ext>
          </c:extLst>
        </c:ser>
        <c:ser>
          <c:idx val="1"/>
          <c:order val="1"/>
          <c:tx>
            <c:strRef>
              <c:f>Sheet3!$F$92</c:f>
              <c:strCache>
                <c:ptCount val="1"/>
                <c:pt idx="0">
                  <c:v>H/Avg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89528074659517"/>
                  <c:y val="1.350270083984506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>
                        <a:solidFill>
                          <a:srgbClr val="FFC000"/>
                        </a:solidFill>
                      </a:rPr>
                      <a:t>y = 0.0133x + 0.1097</a:t>
                    </a:r>
                    <a:br>
                      <a:rPr lang="en-US" sz="1400" baseline="0">
                        <a:solidFill>
                          <a:srgbClr val="FFC000"/>
                        </a:solidFill>
                      </a:rPr>
                    </a:br>
                    <a:r>
                      <a:rPr lang="en-US" sz="1400" baseline="0">
                        <a:solidFill>
                          <a:srgbClr val="FFC000"/>
                        </a:solidFill>
                      </a:rPr>
                      <a:t>R² = 0.9727</a:t>
                    </a:r>
                    <a:endParaRPr lang="en-US" sz="1400">
                      <a:solidFill>
                        <a:srgbClr val="FFC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Sheet3!$F$93:$F$130</c:f>
              <c:numCache>
                <c:formatCode>General</c:formatCode>
                <c:ptCount val="38"/>
                <c:pt idx="0">
                  <c:v>6.6877580876471054E-2</c:v>
                </c:pt>
                <c:pt idx="1">
                  <c:v>9.0169428009310978E-2</c:v>
                </c:pt>
                <c:pt idx="2">
                  <c:v>0.10562045531525428</c:v>
                </c:pt>
                <c:pt idx="3">
                  <c:v>0.11553678627279999</c:v>
                </c:pt>
                <c:pt idx="4">
                  <c:v>0.17780212019227304</c:v>
                </c:pt>
                <c:pt idx="5">
                  <c:v>0.19940000000000002</c:v>
                </c:pt>
                <c:pt idx="6">
                  <c:v>0.21540000000000001</c:v>
                </c:pt>
                <c:pt idx="7">
                  <c:v>0.22046540454450458</c:v>
                </c:pt>
                <c:pt idx="8">
                  <c:v>0.23176540958914968</c:v>
                </c:pt>
                <c:pt idx="9">
                  <c:v>0.26289807654888619</c:v>
                </c:pt>
                <c:pt idx="10">
                  <c:v>0.26358991359243594</c:v>
                </c:pt>
                <c:pt idx="11">
                  <c:v>0.29011033359517446</c:v>
                </c:pt>
                <c:pt idx="12">
                  <c:v>0.28711237307312576</c:v>
                </c:pt>
                <c:pt idx="13">
                  <c:v>0.32262667464201034</c:v>
                </c:pt>
                <c:pt idx="14">
                  <c:v>0.32585524751190897</c:v>
                </c:pt>
                <c:pt idx="15">
                  <c:v>0.34799403290549941</c:v>
                </c:pt>
                <c:pt idx="16">
                  <c:v>0.36575118368994169</c:v>
                </c:pt>
                <c:pt idx="17">
                  <c:v>0.38650629499643274</c:v>
                </c:pt>
                <c:pt idx="18">
                  <c:v>0.38650629499643274</c:v>
                </c:pt>
                <c:pt idx="19">
                  <c:v>0.39140000000000003</c:v>
                </c:pt>
                <c:pt idx="20">
                  <c:v>0.40739999999999998</c:v>
                </c:pt>
                <c:pt idx="21">
                  <c:v>0.40195732230237602</c:v>
                </c:pt>
                <c:pt idx="22">
                  <c:v>0.44946346595945547</c:v>
                </c:pt>
                <c:pt idx="23">
                  <c:v>0.44485121900245744</c:v>
                </c:pt>
                <c:pt idx="24">
                  <c:v>0.47067980196164627</c:v>
                </c:pt>
                <c:pt idx="25">
                  <c:v>0.44000835969760954</c:v>
                </c:pt>
                <c:pt idx="26">
                  <c:v>0.49028185152888781</c:v>
                </c:pt>
                <c:pt idx="27">
                  <c:v>0.49720022196438479</c:v>
                </c:pt>
                <c:pt idx="28">
                  <c:v>0.48705327865898917</c:v>
                </c:pt>
                <c:pt idx="29">
                  <c:v>0.51126757518322874</c:v>
                </c:pt>
                <c:pt idx="30">
                  <c:v>0.52741043953272171</c:v>
                </c:pt>
                <c:pt idx="31">
                  <c:v>0.5311002370983201</c:v>
                </c:pt>
                <c:pt idx="32">
                  <c:v>0.53755738283811738</c:v>
                </c:pt>
                <c:pt idx="33">
                  <c:v>0.53539999999999999</c:v>
                </c:pt>
                <c:pt idx="34">
                  <c:v>0.5514</c:v>
                </c:pt>
                <c:pt idx="35">
                  <c:v>0.55277779779621072</c:v>
                </c:pt>
                <c:pt idx="36">
                  <c:v>0.58736964997369578</c:v>
                </c:pt>
                <c:pt idx="37">
                  <c:v>0.58391046475594732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3F-1145-BB08-6D2C2D5AC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8953360"/>
        <c:axId val="1099536688"/>
      </c:lineChart>
      <c:catAx>
        <c:axId val="109895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Slice</a:t>
                </a:r>
                <a:r>
                  <a:rPr lang="en-US" baseline="0"/>
                  <a:t> Depth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536688"/>
        <c:crosses val="autoZero"/>
        <c:auto val="1"/>
        <c:lblAlgn val="ctr"/>
        <c:lblOffset val="100"/>
        <c:noMultiLvlLbl val="0"/>
      </c:catAx>
      <c:valAx>
        <c:axId val="109953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</a:t>
                </a:r>
                <a:r>
                  <a:rPr lang="en-US" baseline="0"/>
                  <a:t>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95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PA4</a:t>
            </a:r>
            <a:r>
              <a:rPr lang="en-US" baseline="0"/>
              <a:t> W/Wh and W/Avg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Sheet3!$H$48</c:f>
              <c:strCache>
                <c:ptCount val="1"/>
                <c:pt idx="0">
                  <c:v>W/Wh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2.8079079400789186E-2"/>
                  <c:y val="0.1177442269257627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>
                        <a:solidFill>
                          <a:schemeClr val="accent1"/>
                        </a:solidFill>
                      </a:rPr>
                      <a:t>y = -0.0004x</a:t>
                    </a:r>
                    <a:r>
                      <a:rPr lang="en-US" sz="1400" baseline="30000">
                        <a:solidFill>
                          <a:schemeClr val="accent1"/>
                        </a:solidFill>
                      </a:rPr>
                      <a:t>2</a:t>
                    </a:r>
                    <a:r>
                      <a:rPr lang="en-US" sz="1400" baseline="0">
                        <a:solidFill>
                          <a:schemeClr val="accent1"/>
                        </a:solidFill>
                      </a:rPr>
                      <a:t> + 0.0198x + 0.0603</a:t>
                    </a:r>
                    <a:br>
                      <a:rPr lang="en-US" sz="1400" baseline="0">
                        <a:solidFill>
                          <a:schemeClr val="accent1"/>
                        </a:solidFill>
                      </a:rPr>
                    </a:br>
                    <a:r>
                      <a:rPr lang="en-US" sz="1400" baseline="0">
                        <a:solidFill>
                          <a:schemeClr val="accent1"/>
                        </a:solidFill>
                      </a:rPr>
                      <a:t>R² = 0.9515</a:t>
                    </a:r>
                    <a:endParaRPr lang="en-US" sz="1400">
                      <a:solidFill>
                        <a:schemeClr val="accent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Sheet3!$H$49:$H$85</c:f>
              <c:numCache>
                <c:formatCode>General</c:formatCode>
                <c:ptCount val="37"/>
                <c:pt idx="1">
                  <c:v>7.6749999999999999E-2</c:v>
                </c:pt>
                <c:pt idx="2">
                  <c:v>0.10037831021437579</c:v>
                </c:pt>
                <c:pt idx="3">
                  <c:v>0.11574903969270166</c:v>
                </c:pt>
                <c:pt idx="4">
                  <c:v>0.16967288291042495</c:v>
                </c:pt>
                <c:pt idx="5">
                  <c:v>0.17873303167420815</c:v>
                </c:pt>
                <c:pt idx="6">
                  <c:v>0.19734535437014775</c:v>
                </c:pt>
                <c:pt idx="7">
                  <c:v>0.20317620368036299</c:v>
                </c:pt>
                <c:pt idx="8">
                  <c:v>0.20846282572316518</c:v>
                </c:pt>
                <c:pt idx="9">
                  <c:v>0.21034978437949209</c:v>
                </c:pt>
                <c:pt idx="10">
                  <c:v>0.22608079376328843</c:v>
                </c:pt>
                <c:pt idx="11">
                  <c:v>0.25756847669389715</c:v>
                </c:pt>
                <c:pt idx="12">
                  <c:v>0.27810505645557193</c:v>
                </c:pt>
                <c:pt idx="13">
                  <c:v>0.27950000000000003</c:v>
                </c:pt>
                <c:pt idx="14">
                  <c:v>0.28989999999999999</c:v>
                </c:pt>
                <c:pt idx="15">
                  <c:v>0.28958333333333336</c:v>
                </c:pt>
                <c:pt idx="16">
                  <c:v>0.29361994054424878</c:v>
                </c:pt>
                <c:pt idx="17">
                  <c:v>0.30490060101710587</c:v>
                </c:pt>
                <c:pt idx="18">
                  <c:v>0.31396172927002125</c:v>
                </c:pt>
                <c:pt idx="19">
                  <c:v>0.29870420017873101</c:v>
                </c:pt>
                <c:pt idx="20">
                  <c:v>0.3032258064516129</c:v>
                </c:pt>
                <c:pt idx="21">
                  <c:v>0.30301655704241326</c:v>
                </c:pt>
                <c:pt idx="22">
                  <c:v>0.32340032340032338</c:v>
                </c:pt>
                <c:pt idx="23">
                  <c:v>0.3195171942609884</c:v>
                </c:pt>
                <c:pt idx="24">
                  <c:v>0.33302625518194379</c:v>
                </c:pt>
                <c:pt idx="25">
                  <c:v>0.34749999999999998</c:v>
                </c:pt>
                <c:pt idx="26">
                  <c:v>0.34989999999999999</c:v>
                </c:pt>
                <c:pt idx="27">
                  <c:v>0.31545814875262301</c:v>
                </c:pt>
                <c:pt idx="28">
                  <c:v>0.31814980042263441</c:v>
                </c:pt>
                <c:pt idx="29">
                  <c:v>0.30814215024741343</c:v>
                </c:pt>
                <c:pt idx="30">
                  <c:v>0.3264394829612221</c:v>
                </c:pt>
                <c:pt idx="31">
                  <c:v>0.3086060062752129</c:v>
                </c:pt>
                <c:pt idx="32">
                  <c:v>0.32117458132599219</c:v>
                </c:pt>
                <c:pt idx="33">
                  <c:v>0.29870718983896577</c:v>
                </c:pt>
                <c:pt idx="34">
                  <c:v>0.31148664078556748</c:v>
                </c:pt>
                <c:pt idx="35">
                  <c:v>0.35813831185905864</c:v>
                </c:pt>
                <c:pt idx="36">
                  <c:v>0.30610412926391384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C3-BE40-A940-DB1C860BAADA}"/>
            </c:ext>
          </c:extLst>
        </c:ser>
        <c:ser>
          <c:idx val="1"/>
          <c:order val="1"/>
          <c:tx>
            <c:strRef>
              <c:f>Sheet3!$I$48</c:f>
              <c:strCache>
                <c:ptCount val="1"/>
                <c:pt idx="0">
                  <c:v>W/Avg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4146347777956328"/>
                  <c:y val="-0.1813107306540810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>
                        <a:solidFill>
                          <a:srgbClr val="FF0000"/>
                        </a:solidFill>
                      </a:rPr>
                      <a:t>y = -0.0004x</a:t>
                    </a:r>
                    <a:r>
                      <a:rPr lang="en-US" sz="1400" baseline="30000">
                        <a:solidFill>
                          <a:srgbClr val="FF0000"/>
                        </a:solidFill>
                      </a:rPr>
                      <a:t>2</a:t>
                    </a:r>
                    <a:r>
                      <a:rPr lang="en-US" sz="1400" baseline="0">
                        <a:solidFill>
                          <a:srgbClr val="FF0000"/>
                        </a:solidFill>
                      </a:rPr>
                      <a:t> + 0.022x + 0.0396</a:t>
                    </a:r>
                    <a:br>
                      <a:rPr lang="en-US" sz="1400" baseline="0">
                        <a:solidFill>
                          <a:srgbClr val="FF0000"/>
                        </a:solidFill>
                      </a:rPr>
                    </a:br>
                    <a:r>
                      <a:rPr lang="en-US" sz="1400" baseline="0">
                        <a:solidFill>
                          <a:srgbClr val="FF0000"/>
                        </a:solidFill>
                      </a:rPr>
                      <a:t>R² = 0.9841</a:t>
                    </a:r>
                    <a:endParaRPr lang="en-US" sz="1400">
                      <a:solidFill>
                        <a:srgbClr val="FF0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Sheet3!$I$49:$I$85</c:f>
              <c:numCache>
                <c:formatCode>General</c:formatCode>
                <c:ptCount val="37"/>
                <c:pt idx="1">
                  <c:v>7.3007780857752252E-2</c:v>
                </c:pt>
                <c:pt idx="2">
                  <c:v>9.4648523717867736E-2</c:v>
                </c:pt>
                <c:pt idx="3">
                  <c:v>0.10749028321727692</c:v>
                </c:pt>
                <c:pt idx="4">
                  <c:v>0.13198475041059446</c:v>
                </c:pt>
                <c:pt idx="5">
                  <c:v>0.16908316674222101</c:v>
                </c:pt>
                <c:pt idx="6">
                  <c:v>0.18739456454693409</c:v>
                </c:pt>
                <c:pt idx="7">
                  <c:v>0.19167515104673716</c:v>
                </c:pt>
                <c:pt idx="8">
                  <c:v>0.2073706348793484</c:v>
                </c:pt>
                <c:pt idx="9">
                  <c:v>0.20879749704594941</c:v>
                </c:pt>
                <c:pt idx="10">
                  <c:v>0.22758451557286286</c:v>
                </c:pt>
                <c:pt idx="11">
                  <c:v>0.25493270709938243</c:v>
                </c:pt>
                <c:pt idx="12">
                  <c:v>0.26943913912649281</c:v>
                </c:pt>
                <c:pt idx="13">
                  <c:v>0.27759999999999996</c:v>
                </c:pt>
                <c:pt idx="14">
                  <c:v>0.28810000000000002</c:v>
                </c:pt>
                <c:pt idx="15">
                  <c:v>0.2975007617363129</c:v>
                </c:pt>
                <c:pt idx="16">
                  <c:v>0.30534850365261851</c:v>
                </c:pt>
                <c:pt idx="17">
                  <c:v>0.31367186629112448</c:v>
                </c:pt>
                <c:pt idx="18">
                  <c:v>0.31604996990212619</c:v>
                </c:pt>
                <c:pt idx="19">
                  <c:v>0.31795245279092754</c:v>
                </c:pt>
                <c:pt idx="20">
                  <c:v>0.31295843520782396</c:v>
                </c:pt>
                <c:pt idx="21">
                  <c:v>0.31771464242982739</c:v>
                </c:pt>
                <c:pt idx="22">
                  <c:v>0.33293450554023823</c:v>
                </c:pt>
                <c:pt idx="23">
                  <c:v>0.33364793662353875</c:v>
                </c:pt>
                <c:pt idx="24">
                  <c:v>0.34387378215084607</c:v>
                </c:pt>
                <c:pt idx="25">
                  <c:v>0.33760000000000001</c:v>
                </c:pt>
                <c:pt idx="26">
                  <c:v>0.33810000000000001</c:v>
                </c:pt>
                <c:pt idx="27">
                  <c:v>0.32175741856853024</c:v>
                </c:pt>
                <c:pt idx="28">
                  <c:v>0.32223303929073061</c:v>
                </c:pt>
                <c:pt idx="29">
                  <c:v>0.32580019470723315</c:v>
                </c:pt>
                <c:pt idx="30">
                  <c:v>0.33031859156813637</c:v>
                </c:pt>
                <c:pt idx="31">
                  <c:v>0.32746486723493434</c:v>
                </c:pt>
                <c:pt idx="32">
                  <c:v>0.33293450554023823</c:v>
                </c:pt>
                <c:pt idx="33">
                  <c:v>0.31319624556892411</c:v>
                </c:pt>
                <c:pt idx="34">
                  <c:v>0.32437333254063211</c:v>
                </c:pt>
                <c:pt idx="35">
                  <c:v>0.3238977118184318</c:v>
                </c:pt>
                <c:pt idx="36">
                  <c:v>0.32437333254063211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C3-BE40-A940-DB1C860BA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7756656"/>
        <c:axId val="1097310128"/>
      </c:lineChart>
      <c:catAx>
        <c:axId val="1247756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Slice</a:t>
                </a:r>
                <a:r>
                  <a:rPr lang="en-US" baseline="0"/>
                  <a:t> Depth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310128"/>
        <c:crosses val="autoZero"/>
        <c:auto val="1"/>
        <c:lblAlgn val="ctr"/>
        <c:lblOffset val="100"/>
        <c:noMultiLvlLbl val="0"/>
      </c:catAx>
      <c:valAx>
        <c:axId val="109731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</a:t>
                </a:r>
                <a:r>
                  <a:rPr lang="en-US" baseline="0"/>
                  <a:t>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75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PA5 W/Wh and W/Avg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Sheet3!$H$2</c:f>
              <c:strCache>
                <c:ptCount val="1"/>
                <c:pt idx="0">
                  <c:v>W/Wh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8.3162802973650637E-3"/>
                  <c:y val="6.5500765011008724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>
                        <a:solidFill>
                          <a:schemeClr val="accent4"/>
                        </a:solidFill>
                      </a:rPr>
                      <a:t>y = -0.0003x</a:t>
                    </a:r>
                    <a:r>
                      <a:rPr lang="en-US" sz="1400" baseline="30000">
                        <a:solidFill>
                          <a:schemeClr val="accent4"/>
                        </a:solidFill>
                      </a:rPr>
                      <a:t>2</a:t>
                    </a:r>
                    <a:r>
                      <a:rPr lang="en-US" sz="1400" baseline="0">
                        <a:solidFill>
                          <a:schemeClr val="accent4"/>
                        </a:solidFill>
                      </a:rPr>
                      <a:t> + 0.0172x + 0.0339</a:t>
                    </a:r>
                    <a:br>
                      <a:rPr lang="en-US" sz="1400" baseline="0">
                        <a:solidFill>
                          <a:schemeClr val="accent4"/>
                        </a:solidFill>
                      </a:rPr>
                    </a:br>
                    <a:r>
                      <a:rPr lang="en-US" sz="1400" baseline="0">
                        <a:solidFill>
                          <a:schemeClr val="accent4"/>
                        </a:solidFill>
                      </a:rPr>
                      <a:t>R² = 0.9907</a:t>
                    </a:r>
                    <a:endParaRPr lang="en-US" sz="1400">
                      <a:solidFill>
                        <a:schemeClr val="accent4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Sheet3!$H$3:$H$42</c:f>
              <c:numCache>
                <c:formatCode>General</c:formatCode>
                <c:ptCount val="40"/>
                <c:pt idx="0">
                  <c:v>3.8657913931436909E-2</c:v>
                </c:pt>
                <c:pt idx="1">
                  <c:v>6.3907933398628797E-2</c:v>
                </c:pt>
                <c:pt idx="2">
                  <c:v>8.6606243705941596E-2</c:v>
                </c:pt>
                <c:pt idx="3">
                  <c:v>9.3186372745490978E-2</c:v>
                </c:pt>
                <c:pt idx="4">
                  <c:v>0.1099</c:v>
                </c:pt>
                <c:pt idx="5">
                  <c:v>0.12730000000000002</c:v>
                </c:pt>
                <c:pt idx="6">
                  <c:v>0.15594302554027506</c:v>
                </c:pt>
                <c:pt idx="7">
                  <c:v>0.14630071599045347</c:v>
                </c:pt>
                <c:pt idx="8">
                  <c:v>0.18542713567839195</c:v>
                </c:pt>
                <c:pt idx="9">
                  <c:v>0.18534267133566784</c:v>
                </c:pt>
                <c:pt idx="10">
                  <c:v>0.19837439674879351</c:v>
                </c:pt>
                <c:pt idx="11">
                  <c:v>0.20709630702389573</c:v>
                </c:pt>
                <c:pt idx="12">
                  <c:v>0.21575938354461843</c:v>
                </c:pt>
                <c:pt idx="13">
                  <c:v>0.23097302504816955</c:v>
                </c:pt>
                <c:pt idx="14">
                  <c:v>0.23709639406080604</c:v>
                </c:pt>
                <c:pt idx="15">
                  <c:v>0.22938029424877396</c:v>
                </c:pt>
                <c:pt idx="16">
                  <c:v>0.24790000000000004</c:v>
                </c:pt>
                <c:pt idx="17">
                  <c:v>0.25729999999999997</c:v>
                </c:pt>
                <c:pt idx="18">
                  <c:v>0.27605502448123104</c:v>
                </c:pt>
                <c:pt idx="19">
                  <c:v>0.25397923875432526</c:v>
                </c:pt>
                <c:pt idx="20">
                  <c:v>0.29637577491654743</c:v>
                </c:pt>
                <c:pt idx="21">
                  <c:v>0.29029940119760478</c:v>
                </c:pt>
                <c:pt idx="22">
                  <c:v>0.28851999064765022</c:v>
                </c:pt>
                <c:pt idx="23">
                  <c:v>0.30152403282532242</c:v>
                </c:pt>
                <c:pt idx="24">
                  <c:v>0.29098455153331798</c:v>
                </c:pt>
                <c:pt idx="25">
                  <c:v>0.30466369814858213</c:v>
                </c:pt>
                <c:pt idx="26">
                  <c:v>0.32291920917744693</c:v>
                </c:pt>
                <c:pt idx="27">
                  <c:v>0.31321637426900584</c:v>
                </c:pt>
                <c:pt idx="28">
                  <c:v>0.30589999999999995</c:v>
                </c:pt>
                <c:pt idx="29">
                  <c:v>0.30730000000000002</c:v>
                </c:pt>
                <c:pt idx="30">
                  <c:v>0.32446311858076565</c:v>
                </c:pt>
                <c:pt idx="31">
                  <c:v>0.31650845103033109</c:v>
                </c:pt>
                <c:pt idx="32">
                  <c:v>0.32383773928896992</c:v>
                </c:pt>
                <c:pt idx="33">
                  <c:v>0.32006442705936494</c:v>
                </c:pt>
                <c:pt idx="34">
                  <c:v>0.32169117647058826</c:v>
                </c:pt>
                <c:pt idx="35">
                  <c:v>0.31711217729038155</c:v>
                </c:pt>
                <c:pt idx="36">
                  <c:v>0.32127318525303411</c:v>
                </c:pt>
                <c:pt idx="37">
                  <c:v>0.32172083235913024</c:v>
                </c:pt>
                <c:pt idx="38">
                  <c:v>0.31443653890291484</c:v>
                </c:pt>
                <c:pt idx="39">
                  <c:v>0.31181797074529838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63-ED4B-8FFA-8C260B292634}"/>
            </c:ext>
          </c:extLst>
        </c:ser>
        <c:ser>
          <c:idx val="1"/>
          <c:order val="1"/>
          <c:tx>
            <c:strRef>
              <c:f>Sheet3!$I$2</c:f>
              <c:strCache>
                <c:ptCount val="1"/>
                <c:pt idx="0">
                  <c:v>W/Avg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5634979985043771"/>
                  <c:y val="-7.397828115087509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>
                        <a:solidFill>
                          <a:schemeClr val="accent5"/>
                        </a:solidFill>
                      </a:rPr>
                      <a:t>y = -0.0003x</a:t>
                    </a:r>
                    <a:r>
                      <a:rPr lang="en-US" sz="1400" baseline="30000">
                        <a:solidFill>
                          <a:schemeClr val="accent5"/>
                        </a:solidFill>
                      </a:rPr>
                      <a:t>2</a:t>
                    </a:r>
                    <a:r>
                      <a:rPr lang="en-US" sz="1400" baseline="0">
                        <a:solidFill>
                          <a:schemeClr val="accent5"/>
                        </a:solidFill>
                      </a:rPr>
                      <a:t> + 0.0174x + 0.0279</a:t>
                    </a:r>
                    <a:br>
                      <a:rPr lang="en-US" sz="1400" baseline="0">
                        <a:solidFill>
                          <a:schemeClr val="accent5"/>
                        </a:solidFill>
                      </a:rPr>
                    </a:br>
                    <a:r>
                      <a:rPr lang="en-US" sz="1400" baseline="0">
                        <a:solidFill>
                          <a:schemeClr val="accent5"/>
                        </a:solidFill>
                      </a:rPr>
                      <a:t>R² = 0.9945</a:t>
                    </a:r>
                    <a:endParaRPr lang="en-US" sz="1400">
                      <a:solidFill>
                        <a:schemeClr val="accent5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Sheet3!$I$3:$I$42</c:f>
              <c:numCache>
                <c:formatCode>General</c:formatCode>
                <c:ptCount val="40"/>
                <c:pt idx="0">
                  <c:v>3.7732951769386472E-2</c:v>
                </c:pt>
                <c:pt idx="1">
                  <c:v>6.1938996300691003E-2</c:v>
                </c:pt>
                <c:pt idx="2">
                  <c:v>8.1636071752634876E-2</c:v>
                </c:pt>
                <c:pt idx="3">
                  <c:v>8.8280868290640052E-2</c:v>
                </c:pt>
                <c:pt idx="4">
                  <c:v>0.10479999999999999</c:v>
                </c:pt>
                <c:pt idx="5">
                  <c:v>0.1226</c:v>
                </c:pt>
                <c:pt idx="6">
                  <c:v>0.15069449291547427</c:v>
                </c:pt>
                <c:pt idx="7">
                  <c:v>0.1454735813498988</c:v>
                </c:pt>
                <c:pt idx="8">
                  <c:v>0.17513785160885043</c:v>
                </c:pt>
                <c:pt idx="9">
                  <c:v>0.17584979409506526</c:v>
                </c:pt>
                <c:pt idx="10">
                  <c:v>0.18534236057792977</c:v>
                </c:pt>
                <c:pt idx="11">
                  <c:v>0.20361555105744397</c:v>
                </c:pt>
                <c:pt idx="12">
                  <c:v>0.20598869267816011</c:v>
                </c:pt>
                <c:pt idx="13">
                  <c:v>0.22758428142667689</c:v>
                </c:pt>
                <c:pt idx="14">
                  <c:v>0.23873804704404269</c:v>
                </c:pt>
                <c:pt idx="15">
                  <c:v>0.24419627277168982</c:v>
                </c:pt>
                <c:pt idx="16">
                  <c:v>0.24679999999999999</c:v>
                </c:pt>
                <c:pt idx="17">
                  <c:v>0.25659999999999999</c:v>
                </c:pt>
                <c:pt idx="18">
                  <c:v>0.28097996789278984</c:v>
                </c:pt>
                <c:pt idx="19">
                  <c:v>0.26128289244084596</c:v>
                </c:pt>
                <c:pt idx="20">
                  <c:v>0.294981503455015</c:v>
                </c:pt>
                <c:pt idx="21">
                  <c:v>0.28762476443079499</c:v>
                </c:pt>
                <c:pt idx="22">
                  <c:v>0.29284567599637046</c:v>
                </c:pt>
                <c:pt idx="23">
                  <c:v>0.30518601242409438</c:v>
                </c:pt>
                <c:pt idx="24">
                  <c:v>0.29949047253437566</c:v>
                </c:pt>
                <c:pt idx="25">
                  <c:v>0.30850841069309692</c:v>
                </c:pt>
                <c:pt idx="26">
                  <c:v>0.31396663642074402</c:v>
                </c:pt>
                <c:pt idx="27">
                  <c:v>0.31776366301388986</c:v>
                </c:pt>
                <c:pt idx="28">
                  <c:v>0.30879999999999991</c:v>
                </c:pt>
                <c:pt idx="29">
                  <c:v>0.31059999999999993</c:v>
                </c:pt>
                <c:pt idx="30">
                  <c:v>0.3298666852795421</c:v>
                </c:pt>
                <c:pt idx="31">
                  <c:v>0.32440845955189501</c:v>
                </c:pt>
                <c:pt idx="32">
                  <c:v>0.33722342430376212</c:v>
                </c:pt>
                <c:pt idx="33">
                  <c:v>0.33010399944161373</c:v>
                </c:pt>
                <c:pt idx="34">
                  <c:v>0.33223982690025822</c:v>
                </c:pt>
                <c:pt idx="35">
                  <c:v>0.32939205695539886</c:v>
                </c:pt>
                <c:pt idx="36">
                  <c:v>0.33295176938647308</c:v>
                </c:pt>
                <c:pt idx="37">
                  <c:v>0.3265442870105395</c:v>
                </c:pt>
                <c:pt idx="38">
                  <c:v>0.32512040203810982</c:v>
                </c:pt>
                <c:pt idx="39">
                  <c:v>0.3187129196621763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63-ED4B-8FFA-8C260B292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2422000"/>
        <c:axId val="2032076880"/>
      </c:lineChart>
      <c:catAx>
        <c:axId val="1692422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Slice</a:t>
                </a:r>
                <a:r>
                  <a:rPr lang="en-US" baseline="0"/>
                  <a:t> depth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076880"/>
        <c:crosses val="autoZero"/>
        <c:auto val="1"/>
        <c:lblAlgn val="ctr"/>
        <c:lblOffset val="100"/>
        <c:noMultiLvlLbl val="0"/>
      </c:catAx>
      <c:valAx>
        <c:axId val="203207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</a:t>
                </a:r>
                <a:r>
                  <a:rPr lang="en-US" baseline="0"/>
                  <a:t>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42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PA2 W/Wh and W/Avg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Sheet3!$H$92</c:f>
              <c:strCache>
                <c:ptCount val="1"/>
                <c:pt idx="0">
                  <c:v>W/Wh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7030A0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2.5368655291086326E-2"/>
                  <c:y val="9.6053838097823974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>
                        <a:solidFill>
                          <a:srgbClr val="7030A0"/>
                        </a:solidFill>
                      </a:rPr>
                      <a:t>y = -0.0003x</a:t>
                    </a:r>
                    <a:r>
                      <a:rPr lang="en-US" sz="1400" baseline="30000">
                        <a:solidFill>
                          <a:srgbClr val="7030A0"/>
                        </a:solidFill>
                      </a:rPr>
                      <a:t>2</a:t>
                    </a:r>
                    <a:r>
                      <a:rPr lang="en-US" sz="1400" baseline="0">
                        <a:solidFill>
                          <a:srgbClr val="7030A0"/>
                        </a:solidFill>
                      </a:rPr>
                      <a:t> + 0.0164x + 0.0703</a:t>
                    </a:r>
                    <a:br>
                      <a:rPr lang="en-US" sz="1400" baseline="0">
                        <a:solidFill>
                          <a:srgbClr val="7030A0"/>
                        </a:solidFill>
                      </a:rPr>
                    </a:br>
                    <a:r>
                      <a:rPr lang="en-US" sz="1400" baseline="0">
                        <a:solidFill>
                          <a:srgbClr val="7030A0"/>
                        </a:solidFill>
                      </a:rPr>
                      <a:t>R² = 0.9643</a:t>
                    </a:r>
                    <a:endParaRPr lang="en-US" sz="1400">
                      <a:solidFill>
                        <a:srgbClr val="7030A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Sheet3!$H$93:$H$130</c:f>
              <c:numCache>
                <c:formatCode>General</c:formatCode>
                <c:ptCount val="38"/>
                <c:pt idx="0">
                  <c:v>6.090133982947625E-2</c:v>
                </c:pt>
                <c:pt idx="1">
                  <c:v>9.3128618172665489E-2</c:v>
                </c:pt>
                <c:pt idx="2">
                  <c:v>0.10250511247443762</c:v>
                </c:pt>
                <c:pt idx="3">
                  <c:v>0.14348063284233498</c:v>
                </c:pt>
                <c:pt idx="4">
                  <c:v>0.14417252241337533</c:v>
                </c:pt>
                <c:pt idx="5">
                  <c:v>0.16860000000000003</c:v>
                </c:pt>
                <c:pt idx="6">
                  <c:v>0.18319999999999997</c:v>
                </c:pt>
                <c:pt idx="7">
                  <c:v>0.20797563001938521</c:v>
                </c:pt>
                <c:pt idx="8">
                  <c:v>0.19441793893129772</c:v>
                </c:pt>
                <c:pt idx="9">
                  <c:v>0.21593644679826673</c:v>
                </c:pt>
                <c:pt idx="10">
                  <c:v>0.207409101303453</c:v>
                </c:pt>
                <c:pt idx="11">
                  <c:v>0.22442783745913125</c:v>
                </c:pt>
                <c:pt idx="12">
                  <c:v>0.26262111167771546</c:v>
                </c:pt>
                <c:pt idx="13">
                  <c:v>0.23163716814159291</c:v>
                </c:pt>
                <c:pt idx="14">
                  <c:v>0.2572077185017026</c:v>
                </c:pt>
                <c:pt idx="15">
                  <c:v>0.2550033730604902</c:v>
                </c:pt>
                <c:pt idx="16">
                  <c:v>0.27461759082217974</c:v>
                </c:pt>
                <c:pt idx="17">
                  <c:v>0.27863286555002265</c:v>
                </c:pt>
                <c:pt idx="18">
                  <c:v>0.29275630641055311</c:v>
                </c:pt>
                <c:pt idx="19">
                  <c:v>0.29600000000000004</c:v>
                </c:pt>
                <c:pt idx="20">
                  <c:v>0.30020000000000002</c:v>
                </c:pt>
                <c:pt idx="21">
                  <c:v>0.31828597616865262</c:v>
                </c:pt>
                <c:pt idx="22">
                  <c:v>0.30461538461538462</c:v>
                </c:pt>
                <c:pt idx="23">
                  <c:v>0.28527874564459932</c:v>
                </c:pt>
                <c:pt idx="24">
                  <c:v>0.29100413853191026</c:v>
                </c:pt>
                <c:pt idx="25">
                  <c:v>0.29810002183882944</c:v>
                </c:pt>
                <c:pt idx="26">
                  <c:v>0.28356582388840451</c:v>
                </c:pt>
                <c:pt idx="27">
                  <c:v>0.31451969898185039</c:v>
                </c:pt>
                <c:pt idx="28">
                  <c:v>0.30626973387460532</c:v>
                </c:pt>
                <c:pt idx="29">
                  <c:v>0.29325259515570934</c:v>
                </c:pt>
                <c:pt idx="30">
                  <c:v>0.3139969237530213</c:v>
                </c:pt>
                <c:pt idx="31">
                  <c:v>0.30121002592912705</c:v>
                </c:pt>
                <c:pt idx="32">
                  <c:v>0.30576441102756891</c:v>
                </c:pt>
                <c:pt idx="33">
                  <c:v>0.30720000000000003</c:v>
                </c:pt>
                <c:pt idx="34">
                  <c:v>0.30499999999999999</c:v>
                </c:pt>
                <c:pt idx="35">
                  <c:v>0.30694354315379624</c:v>
                </c:pt>
                <c:pt idx="36">
                  <c:v>0.31897891231964481</c:v>
                </c:pt>
                <c:pt idx="37">
                  <c:v>0.30847604595707784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7-D54D-A841-4F162A0A43C8}"/>
            </c:ext>
          </c:extLst>
        </c:ser>
        <c:ser>
          <c:idx val="1"/>
          <c:order val="1"/>
          <c:tx>
            <c:strRef>
              <c:f>Sheet3!$I$92</c:f>
              <c:strCache>
                <c:ptCount val="1"/>
                <c:pt idx="0">
                  <c:v>W/Avg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3520847222472476"/>
                  <c:y val="-7.575982312555758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>
                        <a:solidFill>
                          <a:schemeClr val="accent3"/>
                        </a:solidFill>
                      </a:rPr>
                      <a:t>y = -0.0003x</a:t>
                    </a:r>
                    <a:r>
                      <a:rPr lang="en-US" sz="1400" baseline="30000">
                        <a:solidFill>
                          <a:schemeClr val="accent3"/>
                        </a:solidFill>
                      </a:rPr>
                      <a:t>2</a:t>
                    </a:r>
                    <a:r>
                      <a:rPr lang="en-US" sz="1400" baseline="0">
                        <a:solidFill>
                          <a:schemeClr val="accent3"/>
                        </a:solidFill>
                      </a:rPr>
                      <a:t> + 0.0177x + 0.0532</a:t>
                    </a:r>
                    <a:br>
                      <a:rPr lang="en-US" sz="1400" baseline="0">
                        <a:solidFill>
                          <a:schemeClr val="accent3"/>
                        </a:solidFill>
                      </a:rPr>
                    </a:br>
                    <a:r>
                      <a:rPr lang="en-US" sz="1400" baseline="0">
                        <a:solidFill>
                          <a:schemeClr val="accent3"/>
                        </a:solidFill>
                      </a:rPr>
                      <a:t>R² = 0.9845</a:t>
                    </a:r>
                    <a:endParaRPr lang="en-US" sz="1400">
                      <a:solidFill>
                        <a:schemeClr val="accent3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Sheet3!$I$93:$I$130</c:f>
              <c:numCache>
                <c:formatCode>General</c:formatCode>
                <c:ptCount val="38"/>
                <c:pt idx="0">
                  <c:v>5.765308696247505E-2</c:v>
                </c:pt>
                <c:pt idx="1">
                  <c:v>8.5326568704463063E-2</c:v>
                </c:pt>
                <c:pt idx="2">
                  <c:v>9.2475551487809976E-2</c:v>
                </c:pt>
                <c:pt idx="3">
                  <c:v>0.12130209496904749</c:v>
                </c:pt>
                <c:pt idx="4">
                  <c:v>0.1372143469706906</c:v>
                </c:pt>
                <c:pt idx="5">
                  <c:v>0.16009999999999999</c:v>
                </c:pt>
                <c:pt idx="6">
                  <c:v>0.17629999999999998</c:v>
                </c:pt>
                <c:pt idx="7">
                  <c:v>0.17318987323527504</c:v>
                </c:pt>
                <c:pt idx="8">
                  <c:v>0.18794906349766866</c:v>
                </c:pt>
                <c:pt idx="9">
                  <c:v>0.20685927602136048</c:v>
                </c:pt>
                <c:pt idx="10">
                  <c:v>0.20916539949985946</c:v>
                </c:pt>
                <c:pt idx="11">
                  <c:v>0.22161846628375409</c:v>
                </c:pt>
                <c:pt idx="12">
                  <c:v>0.23753071828539718</c:v>
                </c:pt>
                <c:pt idx="13">
                  <c:v>0.24145112819884551</c:v>
                </c:pt>
                <c:pt idx="14">
                  <c:v>0.26128379011393693</c:v>
                </c:pt>
                <c:pt idx="15">
                  <c:v>0.26151440246178681</c:v>
                </c:pt>
                <c:pt idx="16">
                  <c:v>0.26497358767953533</c:v>
                </c:pt>
                <c:pt idx="17">
                  <c:v>0.28388380020322712</c:v>
                </c:pt>
                <c:pt idx="18">
                  <c:v>0.29172462003012373</c:v>
                </c:pt>
                <c:pt idx="19">
                  <c:v>0.30830000000000002</c:v>
                </c:pt>
                <c:pt idx="20">
                  <c:v>0.31410000000000005</c:v>
                </c:pt>
                <c:pt idx="21">
                  <c:v>0.32032055116351138</c:v>
                </c:pt>
                <c:pt idx="22">
                  <c:v>0.31962871411996169</c:v>
                </c:pt>
                <c:pt idx="23">
                  <c:v>0.30210217568336922</c:v>
                </c:pt>
                <c:pt idx="24">
                  <c:v>0.30809809672746663</c:v>
                </c:pt>
                <c:pt idx="25">
                  <c:v>0.31478585481511373</c:v>
                </c:pt>
                <c:pt idx="26">
                  <c:v>0.30002666455272015</c:v>
                </c:pt>
                <c:pt idx="27">
                  <c:v>0.32770014629470817</c:v>
                </c:pt>
                <c:pt idx="28">
                  <c:v>0.31317156838016447</c:v>
                </c:pt>
                <c:pt idx="29">
                  <c:v>0.31271034368446465</c:v>
                </c:pt>
                <c:pt idx="30">
                  <c:v>0.32954504507750737</c:v>
                </c:pt>
                <c:pt idx="31">
                  <c:v>0.32147361290276089</c:v>
                </c:pt>
                <c:pt idx="32">
                  <c:v>0.30948177081456607</c:v>
                </c:pt>
                <c:pt idx="33">
                  <c:v>0.33229999999999993</c:v>
                </c:pt>
                <c:pt idx="34">
                  <c:v>0.33169999999999999</c:v>
                </c:pt>
                <c:pt idx="35">
                  <c:v>0.32723892159900836</c:v>
                </c:pt>
                <c:pt idx="36">
                  <c:v>0.33138994386030657</c:v>
                </c:pt>
                <c:pt idx="37">
                  <c:v>0.32816137099040799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C7-D54D-A841-4F162A0A4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092976"/>
        <c:axId val="2072707504"/>
      </c:lineChart>
      <c:catAx>
        <c:axId val="2111092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Slice</a:t>
                </a:r>
                <a:r>
                  <a:rPr lang="en-US" baseline="0"/>
                  <a:t> Depth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707504"/>
        <c:crosses val="autoZero"/>
        <c:auto val="1"/>
        <c:lblAlgn val="ctr"/>
        <c:lblOffset val="100"/>
        <c:noMultiLvlLbl val="0"/>
      </c:catAx>
      <c:valAx>
        <c:axId val="207270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</a:t>
                </a:r>
                <a:r>
                  <a:rPr lang="en-US" baseline="0"/>
                  <a:t>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09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PA2 W/Wh and W/Avg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Sheet3!$H$92</c:f>
              <c:strCache>
                <c:ptCount val="1"/>
                <c:pt idx="0">
                  <c:v>W/Wh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7030A0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2.5368655291086326E-2"/>
                  <c:y val="9.60538380978239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Sheet3!$H$93:$H$130</c:f>
              <c:numCache>
                <c:formatCode>General</c:formatCode>
                <c:ptCount val="38"/>
                <c:pt idx="0">
                  <c:v>6.090133982947625E-2</c:v>
                </c:pt>
                <c:pt idx="1">
                  <c:v>9.3128618172665489E-2</c:v>
                </c:pt>
                <c:pt idx="2">
                  <c:v>0.10250511247443762</c:v>
                </c:pt>
                <c:pt idx="3">
                  <c:v>0.14348063284233498</c:v>
                </c:pt>
                <c:pt idx="4">
                  <c:v>0.14417252241337533</c:v>
                </c:pt>
                <c:pt idx="5">
                  <c:v>0.16860000000000003</c:v>
                </c:pt>
                <c:pt idx="6">
                  <c:v>0.18319999999999997</c:v>
                </c:pt>
                <c:pt idx="7">
                  <c:v>0.20797563001938521</c:v>
                </c:pt>
                <c:pt idx="8">
                  <c:v>0.19441793893129772</c:v>
                </c:pt>
                <c:pt idx="9">
                  <c:v>0.21593644679826673</c:v>
                </c:pt>
                <c:pt idx="10">
                  <c:v>0.207409101303453</c:v>
                </c:pt>
                <c:pt idx="11">
                  <c:v>0.22442783745913125</c:v>
                </c:pt>
                <c:pt idx="12">
                  <c:v>0.26262111167771546</c:v>
                </c:pt>
                <c:pt idx="13">
                  <c:v>0.23163716814159291</c:v>
                </c:pt>
                <c:pt idx="14">
                  <c:v>0.2572077185017026</c:v>
                </c:pt>
                <c:pt idx="15">
                  <c:v>0.2550033730604902</c:v>
                </c:pt>
                <c:pt idx="16">
                  <c:v>0.27461759082217974</c:v>
                </c:pt>
                <c:pt idx="17">
                  <c:v>0.27863286555002265</c:v>
                </c:pt>
                <c:pt idx="18">
                  <c:v>0.29275630641055311</c:v>
                </c:pt>
                <c:pt idx="19">
                  <c:v>0.29600000000000004</c:v>
                </c:pt>
                <c:pt idx="20">
                  <c:v>0.30020000000000002</c:v>
                </c:pt>
                <c:pt idx="21">
                  <c:v>0.31828597616865262</c:v>
                </c:pt>
                <c:pt idx="22">
                  <c:v>0.30461538461538462</c:v>
                </c:pt>
                <c:pt idx="23">
                  <c:v>0.28527874564459932</c:v>
                </c:pt>
                <c:pt idx="24">
                  <c:v>0.29100413853191026</c:v>
                </c:pt>
                <c:pt idx="25">
                  <c:v>0.29810002183882944</c:v>
                </c:pt>
                <c:pt idx="26">
                  <c:v>0.28356582388840451</c:v>
                </c:pt>
                <c:pt idx="27">
                  <c:v>0.31451969898185039</c:v>
                </c:pt>
                <c:pt idx="28">
                  <c:v>0.30626973387460532</c:v>
                </c:pt>
                <c:pt idx="29">
                  <c:v>0.29325259515570934</c:v>
                </c:pt>
                <c:pt idx="30">
                  <c:v>0.3139969237530213</c:v>
                </c:pt>
                <c:pt idx="31">
                  <c:v>0.30121002592912705</c:v>
                </c:pt>
                <c:pt idx="32">
                  <c:v>0.30576441102756891</c:v>
                </c:pt>
                <c:pt idx="33">
                  <c:v>0.30720000000000003</c:v>
                </c:pt>
                <c:pt idx="34">
                  <c:v>0.30499999999999999</c:v>
                </c:pt>
                <c:pt idx="35">
                  <c:v>0.30694354315379624</c:v>
                </c:pt>
                <c:pt idx="36">
                  <c:v>0.31897891231964481</c:v>
                </c:pt>
                <c:pt idx="37">
                  <c:v>0.30847604595707784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E5-5C4E-B8AD-217F01FAF507}"/>
            </c:ext>
          </c:extLst>
        </c:ser>
        <c:ser>
          <c:idx val="1"/>
          <c:order val="1"/>
          <c:tx>
            <c:strRef>
              <c:f>Sheet3!$I$92</c:f>
              <c:strCache>
                <c:ptCount val="1"/>
                <c:pt idx="0">
                  <c:v>W/Avg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13520847222472476"/>
                  <c:y val="-7.575982312555758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Sheet3!$I$93:$I$130</c:f>
              <c:numCache>
                <c:formatCode>General</c:formatCode>
                <c:ptCount val="38"/>
                <c:pt idx="0">
                  <c:v>5.765308696247505E-2</c:v>
                </c:pt>
                <c:pt idx="1">
                  <c:v>8.5326568704463063E-2</c:v>
                </c:pt>
                <c:pt idx="2">
                  <c:v>9.2475551487809976E-2</c:v>
                </c:pt>
                <c:pt idx="3">
                  <c:v>0.12130209496904749</c:v>
                </c:pt>
                <c:pt idx="4">
                  <c:v>0.1372143469706906</c:v>
                </c:pt>
                <c:pt idx="5">
                  <c:v>0.16009999999999999</c:v>
                </c:pt>
                <c:pt idx="6">
                  <c:v>0.17629999999999998</c:v>
                </c:pt>
                <c:pt idx="7">
                  <c:v>0.17318987323527504</c:v>
                </c:pt>
                <c:pt idx="8">
                  <c:v>0.18794906349766866</c:v>
                </c:pt>
                <c:pt idx="9">
                  <c:v>0.20685927602136048</c:v>
                </c:pt>
                <c:pt idx="10">
                  <c:v>0.20916539949985946</c:v>
                </c:pt>
                <c:pt idx="11">
                  <c:v>0.22161846628375409</c:v>
                </c:pt>
                <c:pt idx="12">
                  <c:v>0.23753071828539718</c:v>
                </c:pt>
                <c:pt idx="13">
                  <c:v>0.24145112819884551</c:v>
                </c:pt>
                <c:pt idx="14">
                  <c:v>0.26128379011393693</c:v>
                </c:pt>
                <c:pt idx="15">
                  <c:v>0.26151440246178681</c:v>
                </c:pt>
                <c:pt idx="16">
                  <c:v>0.26497358767953533</c:v>
                </c:pt>
                <c:pt idx="17">
                  <c:v>0.28388380020322712</c:v>
                </c:pt>
                <c:pt idx="18">
                  <c:v>0.29172462003012373</c:v>
                </c:pt>
                <c:pt idx="19">
                  <c:v>0.30830000000000002</c:v>
                </c:pt>
                <c:pt idx="20">
                  <c:v>0.31410000000000005</c:v>
                </c:pt>
                <c:pt idx="21">
                  <c:v>0.32032055116351138</c:v>
                </c:pt>
                <c:pt idx="22">
                  <c:v>0.31962871411996169</c:v>
                </c:pt>
                <c:pt idx="23">
                  <c:v>0.30210217568336922</c:v>
                </c:pt>
                <c:pt idx="24">
                  <c:v>0.30809809672746663</c:v>
                </c:pt>
                <c:pt idx="25">
                  <c:v>0.31478585481511373</c:v>
                </c:pt>
                <c:pt idx="26">
                  <c:v>0.30002666455272015</c:v>
                </c:pt>
                <c:pt idx="27">
                  <c:v>0.32770014629470817</c:v>
                </c:pt>
                <c:pt idx="28">
                  <c:v>0.31317156838016447</c:v>
                </c:pt>
                <c:pt idx="29">
                  <c:v>0.31271034368446465</c:v>
                </c:pt>
                <c:pt idx="30">
                  <c:v>0.32954504507750737</c:v>
                </c:pt>
                <c:pt idx="31">
                  <c:v>0.32147361290276089</c:v>
                </c:pt>
                <c:pt idx="32">
                  <c:v>0.30948177081456607</c:v>
                </c:pt>
                <c:pt idx="33">
                  <c:v>0.33229999999999993</c:v>
                </c:pt>
                <c:pt idx="34">
                  <c:v>0.33169999999999999</c:v>
                </c:pt>
                <c:pt idx="35">
                  <c:v>0.32723892159900836</c:v>
                </c:pt>
                <c:pt idx="36">
                  <c:v>0.33138994386030657</c:v>
                </c:pt>
                <c:pt idx="37">
                  <c:v>0.32816137099040799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E5-5C4E-B8AD-217F01FAF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092976"/>
        <c:axId val="2072707504"/>
      </c:lineChart>
      <c:catAx>
        <c:axId val="2111092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Slice</a:t>
                </a:r>
                <a:r>
                  <a:rPr lang="en-US" baseline="0"/>
                  <a:t> Depth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707504"/>
        <c:crosses val="autoZero"/>
        <c:auto val="1"/>
        <c:lblAlgn val="ctr"/>
        <c:lblOffset val="100"/>
        <c:noMultiLvlLbl val="0"/>
      </c:catAx>
      <c:valAx>
        <c:axId val="207270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</a:t>
                </a:r>
                <a:r>
                  <a:rPr lang="en-US" baseline="0"/>
                  <a:t>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09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1st</a:t>
            </a:r>
            <a:r>
              <a:rPr lang="en-US" baseline="0"/>
              <a:t> and 2nd Measurement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2nd Measurement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371069182389937"/>
                  <c:y val="-1.171985080812266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>
                        <a:solidFill>
                          <a:schemeClr val="accent1"/>
                        </a:solidFill>
                      </a:rPr>
                      <a:t>y = 75.573x + 543</a:t>
                    </a:r>
                    <a:br>
                      <a:rPr lang="en-US" sz="1400" baseline="0">
                        <a:solidFill>
                          <a:schemeClr val="accent1"/>
                        </a:solidFill>
                      </a:rPr>
                    </a:br>
                    <a:r>
                      <a:rPr lang="en-US" sz="1400" baseline="0">
                        <a:solidFill>
                          <a:schemeClr val="accent1"/>
                        </a:solidFill>
                      </a:rPr>
                      <a:t>R² = 0.9627</a:t>
                    </a:r>
                    <a:endParaRPr lang="en-US" sz="1400">
                      <a:solidFill>
                        <a:schemeClr val="accent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Sheet4!$N$3:$N$24</c:f>
              <c:numCache>
                <c:formatCode>General</c:formatCode>
                <c:ptCount val="22"/>
                <c:pt idx="0">
                  <c:v>455</c:v>
                </c:pt>
                <c:pt idx="1">
                  <c:v>573</c:v>
                </c:pt>
                <c:pt idx="2">
                  <c:v>678</c:v>
                </c:pt>
                <c:pt idx="3">
                  <c:v>741</c:v>
                </c:pt>
                <c:pt idx="4">
                  <c:v>1046</c:v>
                </c:pt>
                <c:pt idx="5">
                  <c:v>1089</c:v>
                </c:pt>
                <c:pt idx="6">
                  <c:v>1109</c:v>
                </c:pt>
                <c:pt idx="7">
                  <c:v>1241</c:v>
                </c:pt>
                <c:pt idx="8">
                  <c:v>1294</c:v>
                </c:pt>
                <c:pt idx="9">
                  <c:v>1321</c:v>
                </c:pt>
                <c:pt idx="10">
                  <c:v>1373</c:v>
                </c:pt>
                <c:pt idx="11">
                  <c:v>1455</c:v>
                </c:pt>
                <c:pt idx="12">
                  <c:v>1646</c:v>
                </c:pt>
                <c:pt idx="13">
                  <c:v>1734</c:v>
                </c:pt>
                <c:pt idx="14">
                  <c:v>1780</c:v>
                </c:pt>
                <c:pt idx="15">
                  <c:v>1782</c:v>
                </c:pt>
                <c:pt idx="16">
                  <c:v>1832</c:v>
                </c:pt>
                <c:pt idx="17">
                  <c:v>1953</c:v>
                </c:pt>
                <c:pt idx="18">
                  <c:v>1952</c:v>
                </c:pt>
                <c:pt idx="19">
                  <c:v>1919</c:v>
                </c:pt>
                <c:pt idx="20">
                  <c:v>1992</c:v>
                </c:pt>
                <c:pt idx="21">
                  <c:v>2101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94-7A40-A056-07D908086187}"/>
            </c:ext>
          </c:extLst>
        </c:ser>
        <c:ser>
          <c:idx val="1"/>
          <c:order val="1"/>
          <c:tx>
            <c:v>1st Measurement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9308176100628931E-3"/>
                  <c:y val="0.1831890664696661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>
                        <a:solidFill>
                          <a:schemeClr val="accent2"/>
                        </a:solidFill>
                      </a:rPr>
                      <a:t>y = 74.873x + 537.42</a:t>
                    </a:r>
                    <a:br>
                      <a:rPr lang="en-US" sz="1400" baseline="0">
                        <a:solidFill>
                          <a:schemeClr val="accent2"/>
                        </a:solidFill>
                      </a:rPr>
                    </a:br>
                    <a:r>
                      <a:rPr lang="en-US" sz="1400" baseline="0">
                        <a:solidFill>
                          <a:schemeClr val="accent2"/>
                        </a:solidFill>
                      </a:rPr>
                      <a:t>R² = 0.9605</a:t>
                    </a:r>
                    <a:endParaRPr lang="en-US" sz="1400">
                      <a:solidFill>
                        <a:schemeClr val="accent2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Sheet4!$O$3:$O$24</c:f>
              <c:numCache>
                <c:formatCode>General</c:formatCode>
                <c:ptCount val="22"/>
                <c:pt idx="0">
                  <c:v>455</c:v>
                </c:pt>
                <c:pt idx="1">
                  <c:v>546</c:v>
                </c:pt>
                <c:pt idx="2">
                  <c:v>690</c:v>
                </c:pt>
                <c:pt idx="3">
                  <c:v>744</c:v>
                </c:pt>
                <c:pt idx="4">
                  <c:v>1016</c:v>
                </c:pt>
                <c:pt idx="5">
                  <c:v>1062</c:v>
                </c:pt>
                <c:pt idx="6">
                  <c:v>1104</c:v>
                </c:pt>
                <c:pt idx="7">
                  <c:v>1208</c:v>
                </c:pt>
                <c:pt idx="8">
                  <c:v>1282</c:v>
                </c:pt>
                <c:pt idx="9">
                  <c:v>1304</c:v>
                </c:pt>
                <c:pt idx="10">
                  <c:v>1369</c:v>
                </c:pt>
                <c:pt idx="11">
                  <c:v>1450</c:v>
                </c:pt>
                <c:pt idx="12">
                  <c:v>1637</c:v>
                </c:pt>
                <c:pt idx="13">
                  <c:v>1744</c:v>
                </c:pt>
                <c:pt idx="14">
                  <c:v>1777</c:v>
                </c:pt>
                <c:pt idx="15">
                  <c:v>1751</c:v>
                </c:pt>
                <c:pt idx="16">
                  <c:v>1830</c:v>
                </c:pt>
                <c:pt idx="17">
                  <c:v>1943</c:v>
                </c:pt>
                <c:pt idx="18">
                  <c:v>1936</c:v>
                </c:pt>
                <c:pt idx="19">
                  <c:v>1901</c:v>
                </c:pt>
                <c:pt idx="20">
                  <c:v>1995</c:v>
                </c:pt>
                <c:pt idx="21">
                  <c:v>2022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94-7A40-A056-07D908086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7669024"/>
        <c:axId val="837210240"/>
      </c:lineChart>
      <c:catAx>
        <c:axId val="837669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Slice</a:t>
                </a:r>
                <a:r>
                  <a:rPr lang="en-US" baseline="0"/>
                  <a:t> Depth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210240"/>
        <c:crosses val="autoZero"/>
        <c:auto val="1"/>
        <c:lblAlgn val="ctr"/>
        <c:lblOffset val="100"/>
        <c:noMultiLvlLbl val="0"/>
      </c:catAx>
      <c:valAx>
        <c:axId val="83721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HC</a:t>
                </a:r>
                <a:r>
                  <a:rPr lang="en-US" baseline="0"/>
                  <a:t> Height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66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Sheet5!$C$31:$C$53</c:f>
              <c:numCache>
                <c:formatCode>General</c:formatCode>
                <c:ptCount val="23"/>
                <c:pt idx="0">
                  <c:v>3.0897609382047813E-2</c:v>
                </c:pt>
                <c:pt idx="1">
                  <c:v>0.10060449050086356</c:v>
                </c:pt>
                <c:pt idx="2">
                  <c:v>0.11562500000000001</c:v>
                </c:pt>
                <c:pt idx="3">
                  <c:v>0.1419411894760115</c:v>
                </c:pt>
                <c:pt idx="4">
                  <c:v>0.1487849610270518</c:v>
                </c:pt>
                <c:pt idx="5">
                  <c:v>0.18201851035698546</c:v>
                </c:pt>
                <c:pt idx="6">
                  <c:v>0.19558011049723756</c:v>
                </c:pt>
                <c:pt idx="7">
                  <c:v>0.23029091716633354</c:v>
                </c:pt>
                <c:pt idx="8">
                  <c:v>0.21795750514050719</c:v>
                </c:pt>
                <c:pt idx="9">
                  <c:v>0.22391304347826088</c:v>
                </c:pt>
                <c:pt idx="10">
                  <c:v>0.23402868318122555</c:v>
                </c:pt>
                <c:pt idx="11">
                  <c:v>0.29949792621698318</c:v>
                </c:pt>
                <c:pt idx="12">
                  <c:v>0.29099956728688881</c:v>
                </c:pt>
                <c:pt idx="13">
                  <c:v>0.34450092421441775</c:v>
                </c:pt>
                <c:pt idx="14">
                  <c:v>0.34885844748858447</c:v>
                </c:pt>
                <c:pt idx="15">
                  <c:v>0.31780994336060414</c:v>
                </c:pt>
                <c:pt idx="16">
                  <c:v>0.34580673563724412</c:v>
                </c:pt>
                <c:pt idx="17">
                  <c:v>0.35951134380453753</c:v>
                </c:pt>
                <c:pt idx="18">
                  <c:v>0.3968150087260035</c:v>
                </c:pt>
                <c:pt idx="19">
                  <c:v>0.40830206378986866</c:v>
                </c:pt>
                <c:pt idx="20">
                  <c:v>0.42943642291569634</c:v>
                </c:pt>
                <c:pt idx="21">
                  <c:v>0.40173025732031942</c:v>
                </c:pt>
                <c:pt idx="22">
                  <c:v>0.41917868064657055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CA-CD47-B399-667B975F097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Sheet5!$D$31:$D$53</c:f>
              <c:numCache>
                <c:formatCode>General</c:formatCode>
                <c:ptCount val="23"/>
                <c:pt idx="0">
                  <c:v>2.6612539467749212E-2</c:v>
                </c:pt>
                <c:pt idx="1">
                  <c:v>4.706390328151986E-2</c:v>
                </c:pt>
                <c:pt idx="2">
                  <c:v>5.6696428571428571E-2</c:v>
                </c:pt>
                <c:pt idx="3">
                  <c:v>6.0800353747512713E-2</c:v>
                </c:pt>
                <c:pt idx="4">
                  <c:v>7.4965612104539198E-2</c:v>
                </c:pt>
                <c:pt idx="5">
                  <c:v>0.10224768620537682</c:v>
                </c:pt>
                <c:pt idx="6">
                  <c:v>9.0607734806629828E-2</c:v>
                </c:pt>
                <c:pt idx="7">
                  <c:v>0.10237619364867866</c:v>
                </c:pt>
                <c:pt idx="8">
                  <c:v>0.11606122915238748</c:v>
                </c:pt>
                <c:pt idx="9">
                  <c:v>0.11195652173913044</c:v>
                </c:pt>
                <c:pt idx="10">
                  <c:v>0.11951325510647545</c:v>
                </c:pt>
                <c:pt idx="11">
                  <c:v>0.14101724514298189</c:v>
                </c:pt>
                <c:pt idx="12">
                  <c:v>0.15296408481176979</c:v>
                </c:pt>
                <c:pt idx="13">
                  <c:v>0.18438077634011091</c:v>
                </c:pt>
                <c:pt idx="14">
                  <c:v>0.15936073059360731</c:v>
                </c:pt>
                <c:pt idx="15">
                  <c:v>0.16152716593245228</c:v>
                </c:pt>
                <c:pt idx="16">
                  <c:v>0.18379925159586177</c:v>
                </c:pt>
                <c:pt idx="17">
                  <c:v>0.18913612565445026</c:v>
                </c:pt>
                <c:pt idx="18">
                  <c:v>0.16361256544502617</c:v>
                </c:pt>
                <c:pt idx="19">
                  <c:v>0.19324577861163228</c:v>
                </c:pt>
                <c:pt idx="20">
                  <c:v>0.18816953889147647</c:v>
                </c:pt>
                <c:pt idx="21">
                  <c:v>0.19210292812777285</c:v>
                </c:pt>
                <c:pt idx="22">
                  <c:v>0.19331585845347313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CA-CD47-B399-667B975F0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367136"/>
        <c:axId val="622364672"/>
      </c:scatterChart>
      <c:valAx>
        <c:axId val="622367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364672"/>
        <c:crosses val="autoZero"/>
        <c:crossBetween val="midCat"/>
      </c:valAx>
      <c:valAx>
        <c:axId val="62236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367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Sheet5!$H$33:$H$56</c:f>
              <c:numCache>
                <c:formatCode>General</c:formatCode>
                <c:ptCount val="24"/>
                <c:pt idx="0">
                  <c:v>9.0284360189573462E-2</c:v>
                </c:pt>
                <c:pt idx="1">
                  <c:v>0.11650932535113977</c:v>
                </c:pt>
                <c:pt idx="2">
                  <c:v>0.17136258660508083</c:v>
                </c:pt>
                <c:pt idx="3">
                  <c:v>0.19247787610619468</c:v>
                </c:pt>
                <c:pt idx="4">
                  <c:v>0.21576486305945225</c:v>
                </c:pt>
                <c:pt idx="5">
                  <c:v>0.27124966693312019</c:v>
                </c:pt>
                <c:pt idx="6">
                  <c:v>0.26689604325387073</c:v>
                </c:pt>
                <c:pt idx="7">
                  <c:v>0.25204918032786883</c:v>
                </c:pt>
                <c:pt idx="8">
                  <c:v>0.26412180052956752</c:v>
                </c:pt>
                <c:pt idx="9">
                  <c:v>0.27344992050874406</c:v>
                </c:pt>
                <c:pt idx="10">
                  <c:v>0.28341754708314193</c:v>
                </c:pt>
                <c:pt idx="11">
                  <c:v>0.30185652074260827</c:v>
                </c:pt>
                <c:pt idx="12">
                  <c:v>0.30509958415408184</c:v>
                </c:pt>
                <c:pt idx="13">
                  <c:v>0.30967428293631505</c:v>
                </c:pt>
                <c:pt idx="14">
                  <c:v>0.34585432890517637</c:v>
                </c:pt>
                <c:pt idx="15">
                  <c:v>0.38829787234042551</c:v>
                </c:pt>
                <c:pt idx="16">
                  <c:v>0.39839928857269896</c:v>
                </c:pt>
                <c:pt idx="17">
                  <c:v>0.40950323974082076</c:v>
                </c:pt>
                <c:pt idx="18">
                  <c:v>0.39434204886412344</c:v>
                </c:pt>
                <c:pt idx="19">
                  <c:v>0.39261876717707106</c:v>
                </c:pt>
                <c:pt idx="20">
                  <c:v>0.38470611362296048</c:v>
                </c:pt>
                <c:pt idx="21">
                  <c:v>0.40024159452385744</c:v>
                </c:pt>
                <c:pt idx="22">
                  <c:v>0.39907993099482464</c:v>
                </c:pt>
                <c:pt idx="23">
                  <c:v>0.39072595971113644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2A-744D-BF1D-1A76BBF443D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Sheet5!$I$33:$I$56</c:f>
              <c:numCache>
                <c:formatCode>General</c:formatCode>
                <c:ptCount val="24"/>
                <c:pt idx="0">
                  <c:v>3.5545023696682464E-2</c:v>
                </c:pt>
                <c:pt idx="1">
                  <c:v>4.8583928160257889E-2</c:v>
                </c:pt>
                <c:pt idx="2">
                  <c:v>8.1524249422632797E-2</c:v>
                </c:pt>
                <c:pt idx="3">
                  <c:v>0.10110619469026548</c:v>
                </c:pt>
                <c:pt idx="4">
                  <c:v>0.10866176798040525</c:v>
                </c:pt>
                <c:pt idx="5">
                  <c:v>0.12789768185451639</c:v>
                </c:pt>
                <c:pt idx="6">
                  <c:v>0.12410911771934136</c:v>
                </c:pt>
                <c:pt idx="7">
                  <c:v>0.13023679417122039</c:v>
                </c:pt>
                <c:pt idx="8">
                  <c:v>0.11915269196822595</c:v>
                </c:pt>
                <c:pt idx="9">
                  <c:v>0.1190097660685896</c:v>
                </c:pt>
                <c:pt idx="10">
                  <c:v>0.13596692696371154</c:v>
                </c:pt>
                <c:pt idx="11">
                  <c:v>0.12835205134082053</c:v>
                </c:pt>
                <c:pt idx="12">
                  <c:v>0.1221273801707157</c:v>
                </c:pt>
                <c:pt idx="13">
                  <c:v>0.16212931453573165</c:v>
                </c:pt>
                <c:pt idx="14">
                  <c:v>0.1591846083371507</c:v>
                </c:pt>
                <c:pt idx="15">
                  <c:v>0.15226063829787234</c:v>
                </c:pt>
                <c:pt idx="16">
                  <c:v>0.15140062249888839</c:v>
                </c:pt>
                <c:pt idx="17">
                  <c:v>0.15615550755939525</c:v>
                </c:pt>
                <c:pt idx="18">
                  <c:v>0.1566652378911273</c:v>
                </c:pt>
                <c:pt idx="19">
                  <c:v>0.13113466823714173</c:v>
                </c:pt>
                <c:pt idx="20">
                  <c:v>0.15510123845095342</c:v>
                </c:pt>
                <c:pt idx="21">
                  <c:v>0.16529092007247836</c:v>
                </c:pt>
                <c:pt idx="22">
                  <c:v>0.13628522139160437</c:v>
                </c:pt>
                <c:pt idx="23">
                  <c:v>0.15602432535157734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2A-744D-BF1D-1A76BBF44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996639"/>
        <c:axId val="814817871"/>
      </c:scatterChart>
      <c:valAx>
        <c:axId val="684996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817871"/>
        <c:crosses val="autoZero"/>
        <c:crossBetween val="midCat"/>
      </c:valAx>
      <c:valAx>
        <c:axId val="81481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996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751312335958001E-2"/>
          <c:y val="0.29189596092155146"/>
          <c:w val="0.89513867016622917"/>
          <c:h val="0.6294929279673374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Sheet5!$M$33:$M$55</c:f>
              <c:numCache>
                <c:formatCode>General</c:formatCode>
                <c:ptCount val="23"/>
                <c:pt idx="0">
                  <c:v>8.4823375490623631E-2</c:v>
                </c:pt>
                <c:pt idx="1">
                  <c:v>0.11962701842165113</c:v>
                </c:pt>
                <c:pt idx="2">
                  <c:v>0.12779184895233708</c:v>
                </c:pt>
                <c:pt idx="3">
                  <c:v>0.20102851799906499</c:v>
                </c:pt>
                <c:pt idx="4">
                  <c:v>0.22703721149317005</c:v>
                </c:pt>
                <c:pt idx="5">
                  <c:v>0.24753867791842477</c:v>
                </c:pt>
                <c:pt idx="6">
                  <c:v>0.26737720111214086</c:v>
                </c:pt>
                <c:pt idx="7">
                  <c:v>0.27390560039129369</c:v>
                </c:pt>
                <c:pt idx="8">
                  <c:v>0.30128050253684463</c:v>
                </c:pt>
                <c:pt idx="9">
                  <c:v>0.3005362555374213</c:v>
                </c:pt>
                <c:pt idx="10">
                  <c:v>0.32512892639474916</c:v>
                </c:pt>
                <c:pt idx="11">
                  <c:v>0.36808359059605794</c:v>
                </c:pt>
                <c:pt idx="12">
                  <c:v>0.36611374407582936</c:v>
                </c:pt>
                <c:pt idx="13">
                  <c:v>0.43300457060380082</c:v>
                </c:pt>
                <c:pt idx="14">
                  <c:v>0.473785013167345</c:v>
                </c:pt>
                <c:pt idx="15">
                  <c:v>0.48534583821805394</c:v>
                </c:pt>
                <c:pt idx="16">
                  <c:v>0.48946246744020838</c:v>
                </c:pt>
                <c:pt idx="17">
                  <c:v>0.53015797032072765</c:v>
                </c:pt>
                <c:pt idx="18">
                  <c:v>0.51359999999999995</c:v>
                </c:pt>
                <c:pt idx="19">
                  <c:v>0.53176861071597914</c:v>
                </c:pt>
                <c:pt idx="20">
                  <c:v>0.52444848760518537</c:v>
                </c:pt>
                <c:pt idx="21">
                  <c:v>0.51447245564892619</c:v>
                </c:pt>
                <c:pt idx="22">
                  <c:v>0.54333333333333333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09-4E49-8C6E-50D89BD16AB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Sheet5!$N$33:$N$55</c:f>
              <c:numCache>
                <c:formatCode>General</c:formatCode>
                <c:ptCount val="23"/>
                <c:pt idx="0">
                  <c:v>4.0340165721761884E-2</c:v>
                </c:pt>
                <c:pt idx="1">
                  <c:v>5.3900386627245847E-2</c:v>
                </c:pt>
                <c:pt idx="2">
                  <c:v>5.7103384757080357E-2</c:v>
                </c:pt>
                <c:pt idx="3">
                  <c:v>0.10051425899953249</c:v>
                </c:pt>
                <c:pt idx="4">
                  <c:v>0.1048045219029675</c:v>
                </c:pt>
                <c:pt idx="5">
                  <c:v>0.10900140646976091</c:v>
                </c:pt>
                <c:pt idx="6">
                  <c:v>0.12604263206672844</c:v>
                </c:pt>
                <c:pt idx="7">
                  <c:v>0.123991195891416</c:v>
                </c:pt>
                <c:pt idx="8">
                  <c:v>0.13650640251268423</c:v>
                </c:pt>
                <c:pt idx="9">
                  <c:v>0.13219864770342737</c:v>
                </c:pt>
                <c:pt idx="10">
                  <c:v>0.16104078762306612</c:v>
                </c:pt>
                <c:pt idx="11">
                  <c:v>0.14367133697459036</c:v>
                </c:pt>
                <c:pt idx="12">
                  <c:v>0.15592417061611374</c:v>
                </c:pt>
                <c:pt idx="13">
                  <c:v>0.17368294443108009</c:v>
                </c:pt>
                <c:pt idx="14">
                  <c:v>0.19798898731146755</c:v>
                </c:pt>
                <c:pt idx="15">
                  <c:v>0.15123094958968347</c:v>
                </c:pt>
                <c:pt idx="16">
                  <c:v>0.21501302391664692</c:v>
                </c:pt>
                <c:pt idx="17">
                  <c:v>0.20224988032551461</c:v>
                </c:pt>
                <c:pt idx="18">
                  <c:v>0.26948571428571427</c:v>
                </c:pt>
                <c:pt idx="19">
                  <c:v>0.27382645803698435</c:v>
                </c:pt>
                <c:pt idx="20">
                  <c:v>0.32203775301341825</c:v>
                </c:pt>
                <c:pt idx="21">
                  <c:v>0.31932773109243695</c:v>
                </c:pt>
                <c:pt idx="22">
                  <c:v>0.19904761904761906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09-4E49-8C6E-50D89BD16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4038543"/>
        <c:axId val="853886079"/>
      </c:scatterChart>
      <c:valAx>
        <c:axId val="854038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886079"/>
        <c:crosses val="autoZero"/>
        <c:crossBetween val="midCat"/>
      </c:valAx>
      <c:valAx>
        <c:axId val="8538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038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PA2 Full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Sheet5!$R$2:$R$26</c:f>
              <c:numCache>
                <c:formatCode>General</c:formatCode>
                <c:ptCount val="25"/>
                <c:pt idx="0">
                  <c:v>3.0897609382047813E-2</c:v>
                </c:pt>
                <c:pt idx="1">
                  <c:v>0.10060449050086356</c:v>
                </c:pt>
                <c:pt idx="2">
                  <c:v>0.11562500000000001</c:v>
                </c:pt>
                <c:pt idx="3">
                  <c:v>0.1419411894760115</c:v>
                </c:pt>
                <c:pt idx="4">
                  <c:v>0.1487849610270518</c:v>
                </c:pt>
                <c:pt idx="5">
                  <c:v>0.18201851035698546</c:v>
                </c:pt>
                <c:pt idx="6">
                  <c:v>0.19558011049723756</c:v>
                </c:pt>
                <c:pt idx="7">
                  <c:v>0.23029091716633354</c:v>
                </c:pt>
                <c:pt idx="8">
                  <c:v>0.21795750514050719</c:v>
                </c:pt>
                <c:pt idx="9">
                  <c:v>0.22391304347826088</c:v>
                </c:pt>
                <c:pt idx="10">
                  <c:v>0.23402868318122555</c:v>
                </c:pt>
                <c:pt idx="11">
                  <c:v>0.26847826086956522</c:v>
                </c:pt>
                <c:pt idx="12">
                  <c:v>0.28499999999999998</c:v>
                </c:pt>
                <c:pt idx="13">
                  <c:v>0.29949792621698318</c:v>
                </c:pt>
                <c:pt idx="14">
                  <c:v>0.29099956728688881</c:v>
                </c:pt>
                <c:pt idx="15">
                  <c:v>0.34450092421441775</c:v>
                </c:pt>
                <c:pt idx="16">
                  <c:v>0.34885844748858447</c:v>
                </c:pt>
                <c:pt idx="17">
                  <c:v>0.31780994336060414</c:v>
                </c:pt>
                <c:pt idx="18">
                  <c:v>0.34580673563724412</c:v>
                </c:pt>
                <c:pt idx="19">
                  <c:v>0.35951134380453753</c:v>
                </c:pt>
                <c:pt idx="20">
                  <c:v>0.3968150087260035</c:v>
                </c:pt>
                <c:pt idx="21">
                  <c:v>0.40830206378986866</c:v>
                </c:pt>
                <c:pt idx="22">
                  <c:v>0.42943642291569634</c:v>
                </c:pt>
                <c:pt idx="23">
                  <c:v>0.40173025732031942</c:v>
                </c:pt>
                <c:pt idx="24">
                  <c:v>0.41917868064657055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D8-264C-B1A5-0E97653913B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Sheet5!$S$2:$S$26</c:f>
              <c:numCache>
                <c:formatCode>General</c:formatCode>
                <c:ptCount val="25"/>
                <c:pt idx="0">
                  <c:v>2.6612539467749212E-2</c:v>
                </c:pt>
                <c:pt idx="1">
                  <c:v>4.706390328151986E-2</c:v>
                </c:pt>
                <c:pt idx="2">
                  <c:v>5.6696428571428571E-2</c:v>
                </c:pt>
                <c:pt idx="3">
                  <c:v>6.0800353747512713E-2</c:v>
                </c:pt>
                <c:pt idx="4">
                  <c:v>7.4965612104539198E-2</c:v>
                </c:pt>
                <c:pt idx="5">
                  <c:v>0.10224768620537682</c:v>
                </c:pt>
                <c:pt idx="6">
                  <c:v>9.0607734806629828E-2</c:v>
                </c:pt>
                <c:pt idx="7">
                  <c:v>0.10237619364867866</c:v>
                </c:pt>
                <c:pt idx="8">
                  <c:v>0.11606122915238748</c:v>
                </c:pt>
                <c:pt idx="9">
                  <c:v>0.11195652173913044</c:v>
                </c:pt>
                <c:pt idx="10">
                  <c:v>0.11951325510647545</c:v>
                </c:pt>
                <c:pt idx="11">
                  <c:v>0.13108695652173913</c:v>
                </c:pt>
                <c:pt idx="12">
                  <c:v>0.13869565217391305</c:v>
                </c:pt>
                <c:pt idx="13">
                  <c:v>0.14101724514298189</c:v>
                </c:pt>
                <c:pt idx="14">
                  <c:v>0.15296408481176979</c:v>
                </c:pt>
                <c:pt idx="15">
                  <c:v>0.18438077634011091</c:v>
                </c:pt>
                <c:pt idx="16">
                  <c:v>0.15936073059360731</c:v>
                </c:pt>
                <c:pt idx="17">
                  <c:v>0.16152716593245228</c:v>
                </c:pt>
                <c:pt idx="18">
                  <c:v>0.18379925159586177</c:v>
                </c:pt>
                <c:pt idx="19">
                  <c:v>0.18913612565445026</c:v>
                </c:pt>
                <c:pt idx="20">
                  <c:v>0.16361256544502617</c:v>
                </c:pt>
                <c:pt idx="21">
                  <c:v>0.19324577861163228</c:v>
                </c:pt>
                <c:pt idx="22">
                  <c:v>0.18816953889147647</c:v>
                </c:pt>
                <c:pt idx="23">
                  <c:v>0.19210292812777285</c:v>
                </c:pt>
                <c:pt idx="24">
                  <c:v>0.19331585845347313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D8-264C-B1A5-0E9765391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5787791"/>
        <c:axId val="1224915599"/>
      </c:scatterChart>
      <c:valAx>
        <c:axId val="1495787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15599"/>
        <c:crosses val="autoZero"/>
        <c:crossBetween val="midCat"/>
      </c:valAx>
      <c:valAx>
        <c:axId val="122491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787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PA4</a:t>
            </a:r>
            <a:r>
              <a:rPr lang="en-US" baseline="0"/>
              <a:t> Full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Sheet5!$V$2:$V$30</c:f>
              <c:numCache>
                <c:formatCode>General</c:formatCode>
                <c:ptCount val="29"/>
                <c:pt idx="0">
                  <c:v>9.0284360189573462E-2</c:v>
                </c:pt>
                <c:pt idx="1">
                  <c:v>0.11650932535113977</c:v>
                </c:pt>
                <c:pt idx="2">
                  <c:v>0.18133640552995392</c:v>
                </c:pt>
                <c:pt idx="3">
                  <c:v>0.19377880184331797</c:v>
                </c:pt>
                <c:pt idx="4">
                  <c:v>0.17136258660508083</c:v>
                </c:pt>
                <c:pt idx="5">
                  <c:v>0.19247787610619468</c:v>
                </c:pt>
                <c:pt idx="6">
                  <c:v>0.21576486305945225</c:v>
                </c:pt>
                <c:pt idx="7">
                  <c:v>0.27124966693312019</c:v>
                </c:pt>
                <c:pt idx="8">
                  <c:v>0.26689604325387073</c:v>
                </c:pt>
                <c:pt idx="9">
                  <c:v>0.25204918032786883</c:v>
                </c:pt>
                <c:pt idx="10">
                  <c:v>0.26412180052956752</c:v>
                </c:pt>
                <c:pt idx="11">
                  <c:v>0.27344992050874406</c:v>
                </c:pt>
                <c:pt idx="12">
                  <c:v>0.28341754708314193</c:v>
                </c:pt>
                <c:pt idx="13">
                  <c:v>0.30185652074260827</c:v>
                </c:pt>
                <c:pt idx="14">
                  <c:v>0.30509958415408184</c:v>
                </c:pt>
                <c:pt idx="15">
                  <c:v>0.34511111111111109</c:v>
                </c:pt>
                <c:pt idx="16">
                  <c:v>0.35777777777777775</c:v>
                </c:pt>
                <c:pt idx="17">
                  <c:v>0.37022222222222223</c:v>
                </c:pt>
                <c:pt idx="18">
                  <c:v>0.30967428293631505</c:v>
                </c:pt>
                <c:pt idx="19">
                  <c:v>0.34585432890517637</c:v>
                </c:pt>
                <c:pt idx="20">
                  <c:v>0.38829787234042551</c:v>
                </c:pt>
                <c:pt idx="21">
                  <c:v>0.39839928857269896</c:v>
                </c:pt>
                <c:pt idx="22">
                  <c:v>0.40950323974082076</c:v>
                </c:pt>
                <c:pt idx="23">
                  <c:v>0.39434204886412344</c:v>
                </c:pt>
                <c:pt idx="24">
                  <c:v>0.39261876717707106</c:v>
                </c:pt>
                <c:pt idx="25">
                  <c:v>0.38470611362296048</c:v>
                </c:pt>
                <c:pt idx="26">
                  <c:v>0.40024159452385744</c:v>
                </c:pt>
                <c:pt idx="27">
                  <c:v>0.39907993099482464</c:v>
                </c:pt>
                <c:pt idx="28">
                  <c:v>0.39072595971113644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B2-3F48-994D-70E84EEA7D4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Sheet5!$W$2:$W$30</c:f>
              <c:numCache>
                <c:formatCode>General</c:formatCode>
                <c:ptCount val="29"/>
                <c:pt idx="0">
                  <c:v>3.5545023696682464E-2</c:v>
                </c:pt>
                <c:pt idx="1">
                  <c:v>4.8583928160257889E-2</c:v>
                </c:pt>
                <c:pt idx="2">
                  <c:v>9.1244239631336405E-2</c:v>
                </c:pt>
                <c:pt idx="3">
                  <c:v>9.5161290322580638E-2</c:v>
                </c:pt>
                <c:pt idx="4">
                  <c:v>8.1524249422632797E-2</c:v>
                </c:pt>
                <c:pt idx="5">
                  <c:v>0.10110619469026548</c:v>
                </c:pt>
                <c:pt idx="6">
                  <c:v>0.10866176798040525</c:v>
                </c:pt>
                <c:pt idx="7">
                  <c:v>0.12789768185451639</c:v>
                </c:pt>
                <c:pt idx="8">
                  <c:v>0.12410911771934136</c:v>
                </c:pt>
                <c:pt idx="9">
                  <c:v>0.13023679417122039</c:v>
                </c:pt>
                <c:pt idx="10">
                  <c:v>0.11915269196822595</c:v>
                </c:pt>
                <c:pt idx="11">
                  <c:v>0.1190097660685896</c:v>
                </c:pt>
                <c:pt idx="12">
                  <c:v>0.13596692696371154</c:v>
                </c:pt>
                <c:pt idx="13">
                  <c:v>0.12835205134082053</c:v>
                </c:pt>
                <c:pt idx="14">
                  <c:v>0.1221273801707157</c:v>
                </c:pt>
                <c:pt idx="15">
                  <c:v>0.14311111111111111</c:v>
                </c:pt>
                <c:pt idx="16">
                  <c:v>0.14711111111111111</c:v>
                </c:pt>
                <c:pt idx="17">
                  <c:v>0.15111111111111111</c:v>
                </c:pt>
                <c:pt idx="18">
                  <c:v>0.16212931453573165</c:v>
                </c:pt>
                <c:pt idx="19">
                  <c:v>0.1591846083371507</c:v>
                </c:pt>
                <c:pt idx="20">
                  <c:v>0.15226063829787234</c:v>
                </c:pt>
                <c:pt idx="21">
                  <c:v>0.15140062249888839</c:v>
                </c:pt>
                <c:pt idx="22">
                  <c:v>0.15615550755939525</c:v>
                </c:pt>
                <c:pt idx="23">
                  <c:v>0.1566652378911273</c:v>
                </c:pt>
                <c:pt idx="24">
                  <c:v>0.13113466823714173</c:v>
                </c:pt>
                <c:pt idx="25">
                  <c:v>0.15510123845095342</c:v>
                </c:pt>
                <c:pt idx="26">
                  <c:v>0.16529092007247836</c:v>
                </c:pt>
                <c:pt idx="27">
                  <c:v>0.13628522139160437</c:v>
                </c:pt>
                <c:pt idx="28">
                  <c:v>0.15602432535157734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B2-3F48-994D-70E84EEA7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744335"/>
        <c:axId val="1521015679"/>
      </c:scatterChart>
      <c:valAx>
        <c:axId val="10967443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015679"/>
        <c:crosses val="autoZero"/>
        <c:crossBetween val="midCat"/>
      </c:valAx>
      <c:valAx>
        <c:axId val="152101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744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PA5 Full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Sheet5!$Z$2:$Z$28</c:f>
              <c:numCache>
                <c:formatCode>General</c:formatCode>
                <c:ptCount val="27"/>
                <c:pt idx="0">
                  <c:v>8.4823375490623631E-2</c:v>
                </c:pt>
                <c:pt idx="1">
                  <c:v>0.11962701842165113</c:v>
                </c:pt>
                <c:pt idx="2">
                  <c:v>0.12779184895233708</c:v>
                </c:pt>
                <c:pt idx="3">
                  <c:v>0.18697674418604651</c:v>
                </c:pt>
                <c:pt idx="4">
                  <c:v>0.20837209302325582</c:v>
                </c:pt>
                <c:pt idx="5">
                  <c:v>0.20102851799906499</c:v>
                </c:pt>
                <c:pt idx="6">
                  <c:v>0.22703721149317005</c:v>
                </c:pt>
                <c:pt idx="7">
                  <c:v>0.24753867791842477</c:v>
                </c:pt>
                <c:pt idx="8">
                  <c:v>0.26737720111214086</c:v>
                </c:pt>
                <c:pt idx="9">
                  <c:v>0.27390560039129369</c:v>
                </c:pt>
                <c:pt idx="10">
                  <c:v>0.30128050253684463</c:v>
                </c:pt>
                <c:pt idx="11">
                  <c:v>0.3005362555374213</c:v>
                </c:pt>
                <c:pt idx="12">
                  <c:v>0.32512892639474916</c:v>
                </c:pt>
                <c:pt idx="13">
                  <c:v>0.36808359059605794</c:v>
                </c:pt>
                <c:pt idx="14">
                  <c:v>0.36611374407582936</c:v>
                </c:pt>
                <c:pt idx="15">
                  <c:v>0.44380952380952382</c:v>
                </c:pt>
                <c:pt idx="16">
                  <c:v>0.46523809523809523</c:v>
                </c:pt>
                <c:pt idx="17">
                  <c:v>0.43300457060380082</c:v>
                </c:pt>
                <c:pt idx="18">
                  <c:v>0.473785013167345</c:v>
                </c:pt>
                <c:pt idx="19">
                  <c:v>0.48534583821805394</c:v>
                </c:pt>
                <c:pt idx="20">
                  <c:v>0.48946246744020838</c:v>
                </c:pt>
                <c:pt idx="21">
                  <c:v>0.53015797032072765</c:v>
                </c:pt>
                <c:pt idx="22">
                  <c:v>0.51359999999999995</c:v>
                </c:pt>
                <c:pt idx="23">
                  <c:v>0.53176861071597914</c:v>
                </c:pt>
                <c:pt idx="24">
                  <c:v>0.52444848760518537</c:v>
                </c:pt>
                <c:pt idx="25">
                  <c:v>0.51447245564892619</c:v>
                </c:pt>
                <c:pt idx="26">
                  <c:v>0.54333333333333333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C6-FE4C-A37F-800B66C9A62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Sheet5!$AA$2:$AA$28</c:f>
              <c:numCache>
                <c:formatCode>General</c:formatCode>
                <c:ptCount val="27"/>
                <c:pt idx="0">
                  <c:v>4.0340165721761884E-2</c:v>
                </c:pt>
                <c:pt idx="1">
                  <c:v>5.3900386627245847E-2</c:v>
                </c:pt>
                <c:pt idx="2">
                  <c:v>5.7103384757080357E-2</c:v>
                </c:pt>
                <c:pt idx="3">
                  <c:v>7.9302325581395355E-2</c:v>
                </c:pt>
                <c:pt idx="4">
                  <c:v>0.09</c:v>
                </c:pt>
                <c:pt idx="5">
                  <c:v>0.10051425899953249</c:v>
                </c:pt>
                <c:pt idx="6">
                  <c:v>0.1048045219029675</c:v>
                </c:pt>
                <c:pt idx="7">
                  <c:v>0.10900140646976091</c:v>
                </c:pt>
                <c:pt idx="8">
                  <c:v>0.12604263206672844</c:v>
                </c:pt>
                <c:pt idx="9">
                  <c:v>0.123991195891416</c:v>
                </c:pt>
                <c:pt idx="10">
                  <c:v>0.13650640251268423</c:v>
                </c:pt>
                <c:pt idx="11">
                  <c:v>0.13219864770342737</c:v>
                </c:pt>
                <c:pt idx="12">
                  <c:v>0.16104078762306612</c:v>
                </c:pt>
                <c:pt idx="13">
                  <c:v>0.14367133697459036</c:v>
                </c:pt>
                <c:pt idx="14">
                  <c:v>0.15592417061611374</c:v>
                </c:pt>
                <c:pt idx="15">
                  <c:v>0.20642857142857143</c:v>
                </c:pt>
                <c:pt idx="16">
                  <c:v>0.21714285714285714</c:v>
                </c:pt>
                <c:pt idx="17">
                  <c:v>0.17368294443108009</c:v>
                </c:pt>
                <c:pt idx="18">
                  <c:v>0.19798898731146755</c:v>
                </c:pt>
                <c:pt idx="19">
                  <c:v>0.15123094958968347</c:v>
                </c:pt>
                <c:pt idx="20">
                  <c:v>0.21501302391664692</c:v>
                </c:pt>
                <c:pt idx="21">
                  <c:v>0.20224988032551461</c:v>
                </c:pt>
                <c:pt idx="22">
                  <c:v>0.26948571428571427</c:v>
                </c:pt>
                <c:pt idx="23">
                  <c:v>0.27382645803698435</c:v>
                </c:pt>
                <c:pt idx="24">
                  <c:v>0.32203775301341825</c:v>
                </c:pt>
                <c:pt idx="25">
                  <c:v>0.31932773109243695</c:v>
                </c:pt>
                <c:pt idx="26">
                  <c:v>0.19904761904761906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C6-FE4C-A37F-800B66C9A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316799"/>
        <c:axId val="685091407"/>
      </c:scatterChart>
      <c:valAx>
        <c:axId val="685316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091407"/>
        <c:crosses val="autoZero"/>
        <c:crossBetween val="midCat"/>
      </c:valAx>
      <c:valAx>
        <c:axId val="68509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316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323850</xdr:colOff>
      <xdr:row>2</xdr:row>
      <xdr:rowOff>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523875</xdr:colOff>
      <xdr:row>86</xdr:row>
      <xdr:rowOff>171450</xdr:rowOff>
    </xdr:from>
    <xdr:ext cx="57150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16</xdr:col>
      <xdr:colOff>790575</xdr:colOff>
      <xdr:row>18</xdr:row>
      <xdr:rowOff>152400</xdr:rowOff>
    </xdr:from>
    <xdr:ext cx="5715000" cy="35337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16</xdr:col>
      <xdr:colOff>333375</xdr:colOff>
      <xdr:row>84</xdr:row>
      <xdr:rowOff>66675</xdr:rowOff>
    </xdr:from>
    <xdr:ext cx="5715000" cy="353377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406400</xdr:colOff>
      <xdr:row>36</xdr:row>
      <xdr:rowOff>152400</xdr:rowOff>
    </xdr:from>
    <xdr:to>
      <xdr:col>11</xdr:col>
      <xdr:colOff>355600</xdr:colOff>
      <xdr:row>67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06414F-2297-ECE8-18F9-12F0899E1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406400</xdr:colOff>
      <xdr:row>73</xdr:row>
      <xdr:rowOff>50800</xdr:rowOff>
    </xdr:from>
    <xdr:to>
      <xdr:col>11</xdr:col>
      <xdr:colOff>203200</xdr:colOff>
      <xdr:row>103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F289DE-F7E5-025B-80C7-964EF2495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254000</xdr:colOff>
      <xdr:row>39</xdr:row>
      <xdr:rowOff>127000</xdr:rowOff>
    </xdr:from>
    <xdr:to>
      <xdr:col>23</xdr:col>
      <xdr:colOff>50800</xdr:colOff>
      <xdr:row>72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FD497F-E2F0-37FA-4C2A-A9D0700C1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292100</xdr:colOff>
      <xdr:row>71</xdr:row>
      <xdr:rowOff>101600</xdr:rowOff>
    </xdr:from>
    <xdr:to>
      <xdr:col>23</xdr:col>
      <xdr:colOff>228600</xdr:colOff>
      <xdr:row>106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A69824-70C3-DAF4-62C5-84CB0B42D7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717550</xdr:colOff>
      <xdr:row>36</xdr:row>
      <xdr:rowOff>44450</xdr:rowOff>
    </xdr:from>
    <xdr:to>
      <xdr:col>36</xdr:col>
      <xdr:colOff>381000</xdr:colOff>
      <xdr:row>72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AE19690-F74C-F95E-FA10-B587A92CC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762000</xdr:colOff>
      <xdr:row>73</xdr:row>
      <xdr:rowOff>69850</xdr:rowOff>
    </xdr:from>
    <xdr:to>
      <xdr:col>36</xdr:col>
      <xdr:colOff>228600</xdr:colOff>
      <xdr:row>105</xdr:row>
      <xdr:rowOff>50800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829958F-9294-870C-F589-C2E33B95F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279400</xdr:colOff>
      <xdr:row>1</xdr:row>
      <xdr:rowOff>6350</xdr:rowOff>
    </xdr:from>
    <xdr:to>
      <xdr:col>41</xdr:col>
      <xdr:colOff>393700</xdr:colOff>
      <xdr:row>40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42595C-C7EC-D8A9-4485-16699EA6E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254000</xdr:colOff>
      <xdr:row>46</xdr:row>
      <xdr:rowOff>69850</xdr:rowOff>
    </xdr:from>
    <xdr:to>
      <xdr:col>41</xdr:col>
      <xdr:colOff>520700</xdr:colOff>
      <xdr:row>85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D905E2-D014-2FBF-C755-A9AC87C9D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203200</xdr:colOff>
      <xdr:row>87</xdr:row>
      <xdr:rowOff>57150</xdr:rowOff>
    </xdr:from>
    <xdr:to>
      <xdr:col>41</xdr:col>
      <xdr:colOff>571500</xdr:colOff>
      <xdr:row>127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7731402-2438-533F-0F1E-E7672942C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38100</xdr:colOff>
      <xdr:row>46</xdr:row>
      <xdr:rowOff>146050</xdr:rowOff>
    </xdr:from>
    <xdr:to>
      <xdr:col>23</xdr:col>
      <xdr:colOff>508000</xdr:colOff>
      <xdr:row>84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532B710-FA22-34B7-7E9D-EA1CC64479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241300</xdr:colOff>
      <xdr:row>1</xdr:row>
      <xdr:rowOff>82550</xdr:rowOff>
    </xdr:from>
    <xdr:to>
      <xdr:col>23</xdr:col>
      <xdr:colOff>50800</xdr:colOff>
      <xdr:row>42</xdr:row>
      <xdr:rowOff>12700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B3BF518-6EF9-FB7E-CFEC-8B7A324305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393700</xdr:colOff>
      <xdr:row>91</xdr:row>
      <xdr:rowOff>44450</xdr:rowOff>
    </xdr:from>
    <xdr:to>
      <xdr:col>22</xdr:col>
      <xdr:colOff>762000</xdr:colOff>
      <xdr:row>130</xdr:row>
      <xdr:rowOff>50800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74B5880-8D5A-60C0-B644-D6E88ACAF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0</xdr:colOff>
      <xdr:row>90</xdr:row>
      <xdr:rowOff>0</xdr:rowOff>
    </xdr:from>
    <xdr:to>
      <xdr:col>56</xdr:col>
      <xdr:colOff>368300</xdr:colOff>
      <xdr:row>129</xdr:row>
      <xdr:rowOff>6350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06B8DFF-7D2F-EC41-9B07-45768852C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279400</xdr:colOff>
      <xdr:row>2</xdr:row>
      <xdr:rowOff>25400</xdr:rowOff>
    </xdr:from>
    <xdr:to>
      <xdr:col>25</xdr:col>
      <xdr:colOff>101600</xdr:colOff>
      <xdr:row>35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49B4BC-BA6C-8E87-F767-30FA34721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54</xdr:row>
      <xdr:rowOff>38315</xdr:rowOff>
    </xdr:from>
    <xdr:to>
      <xdr:col>5</xdr:col>
      <xdr:colOff>428356</xdr:colOff>
      <xdr:row>71</xdr:row>
      <xdr:rowOff>37024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559A8C-72C6-0AA9-CD3A-31424C24C3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571500</xdr:colOff>
      <xdr:row>57</xdr:row>
      <xdr:rowOff>59841</xdr:rowOff>
    </xdr:from>
    <xdr:to>
      <xdr:col>11</xdr:col>
      <xdr:colOff>171127</xdr:colOff>
      <xdr:row>74</xdr:row>
      <xdr:rowOff>58550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4D2E0C-D64B-A15B-A218-059901519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302432</xdr:colOff>
      <xdr:row>56</xdr:row>
      <xdr:rowOff>92128</xdr:rowOff>
    </xdr:from>
    <xdr:to>
      <xdr:col>16</xdr:col>
      <xdr:colOff>730788</xdr:colOff>
      <xdr:row>73</xdr:row>
      <xdr:rowOff>90837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A9DCA7-F9DB-3AD2-FAF4-D728ACDD5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63500</xdr:colOff>
      <xdr:row>28</xdr:row>
      <xdr:rowOff>57150</xdr:rowOff>
    </xdr:from>
    <xdr:to>
      <xdr:col>20</xdr:col>
      <xdr:colOff>508000</xdr:colOff>
      <xdr:row>44</xdr:row>
      <xdr:rowOff>158750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7E0FAD-75E0-A6E3-A821-9616E2641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152400</xdr:colOff>
      <xdr:row>30</xdr:row>
      <xdr:rowOff>146050</xdr:rowOff>
    </xdr:from>
    <xdr:to>
      <xdr:col>26</xdr:col>
      <xdr:colOff>596900</xdr:colOff>
      <xdr:row>47</xdr:row>
      <xdr:rowOff>82550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1D0378F-8193-846A-2253-7FEC854952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317500</xdr:colOff>
      <xdr:row>5</xdr:row>
      <xdr:rowOff>44450</xdr:rowOff>
    </xdr:from>
    <xdr:to>
      <xdr:col>32</xdr:col>
      <xdr:colOff>762000</xdr:colOff>
      <xdr:row>21</xdr:row>
      <xdr:rowOff>146050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E58F214-8880-52E4-4BFB-C2F9AFF85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13"/>
  <sheetViews>
    <sheetView workbookViewId="0">
      <selection activeCell="D57" sqref="D57"/>
    </sheetView>
  </sheetViews>
  <sheetFormatPr baseColWidth="10" defaultColWidth="12.6640625" defaultRowHeight="15.75" customHeight="1" x14ac:dyDescent="0.15"/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15">
      <c r="A2" s="1">
        <v>1</v>
      </c>
      <c r="B2" s="1">
        <v>0</v>
      </c>
      <c r="D2" s="1">
        <v>4115</v>
      </c>
      <c r="E2" s="1">
        <f t="shared" ref="E2:E13" si="0">B:B/D:D</f>
        <v>0</v>
      </c>
      <c r="F2" s="1">
        <f t="shared" ref="F2:F13" si="1">B:B/$D$57</f>
        <v>0</v>
      </c>
    </row>
    <row r="3" spans="1:7" ht="15.75" customHeight="1" x14ac:dyDescent="0.15">
      <c r="A3" s="1">
        <v>2</v>
      </c>
      <c r="B3" s="1">
        <v>0</v>
      </c>
      <c r="D3" s="1">
        <v>4063</v>
      </c>
      <c r="E3" s="1">
        <f t="shared" si="0"/>
        <v>0</v>
      </c>
      <c r="F3" s="1">
        <f t="shared" si="1"/>
        <v>0</v>
      </c>
    </row>
    <row r="4" spans="1:7" ht="15.75" customHeight="1" x14ac:dyDescent="0.15">
      <c r="A4" s="1">
        <v>3</v>
      </c>
      <c r="B4" s="1">
        <v>0</v>
      </c>
      <c r="D4" s="1">
        <v>4057</v>
      </c>
      <c r="E4" s="1">
        <f t="shared" si="0"/>
        <v>0</v>
      </c>
      <c r="F4" s="1">
        <f t="shared" si="1"/>
        <v>0</v>
      </c>
    </row>
    <row r="5" spans="1:7" ht="15.75" customHeight="1" x14ac:dyDescent="0.15">
      <c r="A5" s="1">
        <v>4</v>
      </c>
      <c r="B5" s="1">
        <v>0</v>
      </c>
      <c r="D5" s="1">
        <v>4102</v>
      </c>
      <c r="E5" s="1">
        <f t="shared" si="0"/>
        <v>0</v>
      </c>
      <c r="F5" s="1">
        <f t="shared" si="1"/>
        <v>0</v>
      </c>
    </row>
    <row r="6" spans="1:7" ht="15.75" customHeight="1" x14ac:dyDescent="0.15">
      <c r="A6" s="1">
        <v>5</v>
      </c>
      <c r="B6" s="1">
        <v>0</v>
      </c>
      <c r="D6" s="1">
        <v>4075</v>
      </c>
      <c r="E6" s="1">
        <f t="shared" si="0"/>
        <v>0</v>
      </c>
      <c r="F6" s="1">
        <f t="shared" si="1"/>
        <v>0</v>
      </c>
    </row>
    <row r="7" spans="1:7" ht="15.75" customHeight="1" x14ac:dyDescent="0.15">
      <c r="A7" s="1">
        <v>6</v>
      </c>
      <c r="B7" s="1">
        <v>0</v>
      </c>
      <c r="D7" s="1">
        <v>4354</v>
      </c>
      <c r="E7" s="1">
        <f t="shared" si="0"/>
        <v>0</v>
      </c>
      <c r="F7" s="1">
        <f t="shared" si="1"/>
        <v>0</v>
      </c>
    </row>
    <row r="8" spans="1:7" ht="15.75" customHeight="1" x14ac:dyDescent="0.15">
      <c r="A8" s="1">
        <v>7</v>
      </c>
      <c r="B8" s="1">
        <v>0</v>
      </c>
      <c r="D8" s="1">
        <v>4239</v>
      </c>
      <c r="E8" s="1">
        <f t="shared" si="0"/>
        <v>0</v>
      </c>
      <c r="F8" s="1">
        <f t="shared" si="1"/>
        <v>0</v>
      </c>
    </row>
    <row r="9" spans="1:7" ht="15.75" customHeight="1" x14ac:dyDescent="0.15">
      <c r="A9" s="1">
        <v>8</v>
      </c>
      <c r="B9" s="1">
        <v>0</v>
      </c>
      <c r="D9" s="1">
        <v>3577</v>
      </c>
      <c r="E9" s="1">
        <f t="shared" si="0"/>
        <v>0</v>
      </c>
      <c r="F9" s="1">
        <f t="shared" si="1"/>
        <v>0</v>
      </c>
    </row>
    <row r="10" spans="1:7" ht="15.75" customHeight="1" x14ac:dyDescent="0.15">
      <c r="A10" s="1">
        <v>9</v>
      </c>
      <c r="B10" s="1">
        <v>0</v>
      </c>
      <c r="D10" s="1">
        <v>3718</v>
      </c>
      <c r="E10" s="1">
        <f t="shared" si="0"/>
        <v>0</v>
      </c>
      <c r="F10" s="1">
        <f t="shared" si="1"/>
        <v>0</v>
      </c>
    </row>
    <row r="11" spans="1:7" ht="15.75" customHeight="1" x14ac:dyDescent="0.15">
      <c r="A11" s="1">
        <v>10</v>
      </c>
      <c r="B11" s="1">
        <v>0</v>
      </c>
      <c r="D11" s="1">
        <v>3856</v>
      </c>
      <c r="E11" s="1">
        <f t="shared" si="0"/>
        <v>0</v>
      </c>
      <c r="F11" s="1">
        <f t="shared" si="1"/>
        <v>0</v>
      </c>
    </row>
    <row r="12" spans="1:7" ht="15.75" customHeight="1" x14ac:dyDescent="0.15">
      <c r="A12" s="1">
        <v>11</v>
      </c>
      <c r="B12" s="1">
        <v>0</v>
      </c>
      <c r="D12" s="1">
        <v>3740</v>
      </c>
      <c r="E12" s="1">
        <f t="shared" si="0"/>
        <v>0</v>
      </c>
      <c r="F12" s="1">
        <f t="shared" si="1"/>
        <v>0</v>
      </c>
    </row>
    <row r="13" spans="1:7" ht="15.75" customHeight="1" x14ac:dyDescent="0.15">
      <c r="A13" s="1">
        <v>12</v>
      </c>
      <c r="D13" s="1">
        <v>3907</v>
      </c>
      <c r="E13" s="1">
        <f t="shared" si="0"/>
        <v>0</v>
      </c>
      <c r="F13" s="1">
        <f t="shared" si="1"/>
        <v>0</v>
      </c>
    </row>
    <row r="14" spans="1:7" ht="15.75" customHeight="1" x14ac:dyDescent="0.15">
      <c r="A14" s="2">
        <v>13</v>
      </c>
      <c r="G14" s="1"/>
    </row>
    <row r="15" spans="1:7" ht="15.75" customHeight="1" x14ac:dyDescent="0.15">
      <c r="A15" s="1">
        <v>14</v>
      </c>
      <c r="G15" s="1"/>
    </row>
    <row r="16" spans="1:7" ht="15.75" customHeight="1" x14ac:dyDescent="0.15">
      <c r="A16" s="1" t="s">
        <v>7</v>
      </c>
    </row>
    <row r="17" spans="1:16" ht="15.75" customHeight="1" x14ac:dyDescent="0.15">
      <c r="A17" s="1">
        <v>1</v>
      </c>
      <c r="B17" s="1">
        <v>455</v>
      </c>
      <c r="C17" s="1">
        <v>307</v>
      </c>
      <c r="D17" s="1">
        <v>4000</v>
      </c>
      <c r="E17" s="1">
        <f t="shared" ref="E17:E28" si="2">B:B/D:D</f>
        <v>0.11375</v>
      </c>
      <c r="F17" s="1">
        <f t="shared" ref="F17:F28" si="3">B:B/$D$57</f>
        <v>0.10978043912175647</v>
      </c>
      <c r="G17" s="1">
        <v>3</v>
      </c>
      <c r="O17" s="1">
        <f t="shared" ref="O17:O28" si="4">C:C/D:D</f>
        <v>7.6749999999999999E-2</v>
      </c>
      <c r="P17" s="1">
        <f t="shared" ref="P17:P28" si="5">C:C/$D$57</f>
        <v>7.4071636945888433E-2</v>
      </c>
    </row>
    <row r="18" spans="1:16" ht="15.75" customHeight="1" x14ac:dyDescent="0.15">
      <c r="A18" s="1">
        <v>2</v>
      </c>
      <c r="B18" s="1">
        <v>546</v>
      </c>
      <c r="C18" s="1">
        <v>398</v>
      </c>
      <c r="D18" s="1">
        <v>3965</v>
      </c>
      <c r="E18" s="1">
        <f t="shared" si="2"/>
        <v>0.13770491803278689</v>
      </c>
      <c r="F18" s="1">
        <f t="shared" si="3"/>
        <v>0.13173652694610777</v>
      </c>
      <c r="G18" s="1">
        <v>4</v>
      </c>
      <c r="O18" s="1">
        <f t="shared" si="4"/>
        <v>0.10037831021437579</v>
      </c>
      <c r="P18" s="1">
        <f t="shared" si="5"/>
        <v>9.6027724770239728E-2</v>
      </c>
    </row>
    <row r="19" spans="1:16" ht="15.75" customHeight="1" x14ac:dyDescent="0.15">
      <c r="A19" s="1">
        <v>3</v>
      </c>
      <c r="B19" s="1">
        <v>690</v>
      </c>
      <c r="C19" s="1">
        <v>452</v>
      </c>
      <c r="D19" s="1">
        <v>3905</v>
      </c>
      <c r="E19" s="1">
        <f t="shared" si="2"/>
        <v>0.17669654289372599</v>
      </c>
      <c r="F19" s="1">
        <f t="shared" si="3"/>
        <v>0.16648022636046586</v>
      </c>
      <c r="G19" s="1">
        <v>5</v>
      </c>
      <c r="O19" s="1">
        <f t="shared" si="4"/>
        <v>0.11574903969270166</v>
      </c>
      <c r="P19" s="1">
        <f t="shared" si="5"/>
        <v>0.10905661205062402</v>
      </c>
    </row>
    <row r="20" spans="1:16" ht="15.75" customHeight="1" x14ac:dyDescent="0.15">
      <c r="A20" s="1">
        <v>4</v>
      </c>
      <c r="B20" s="1">
        <v>744</v>
      </c>
      <c r="C20" s="1">
        <v>555</v>
      </c>
      <c r="D20" s="3">
        <v>3271</v>
      </c>
      <c r="E20" s="1">
        <f t="shared" si="2"/>
        <v>0.22745337817181291</v>
      </c>
      <c r="F20" s="1">
        <f t="shared" si="3"/>
        <v>0.17950911364085015</v>
      </c>
      <c r="G20" s="1">
        <v>6</v>
      </c>
      <c r="O20" s="1">
        <f t="shared" si="4"/>
        <v>0.16967288291042495</v>
      </c>
      <c r="P20" s="1">
        <f t="shared" si="5"/>
        <v>0.13390800815950515</v>
      </c>
    </row>
    <row r="21" spans="1:16" ht="15.75" customHeight="1" x14ac:dyDescent="0.15">
      <c r="A21" s="1">
        <v>5</v>
      </c>
      <c r="B21" s="1">
        <v>1016</v>
      </c>
      <c r="C21" s="1">
        <v>711</v>
      </c>
      <c r="D21" s="1">
        <v>3978</v>
      </c>
      <c r="E21" s="1">
        <f t="shared" si="2"/>
        <v>0.25540472599296127</v>
      </c>
      <c r="F21" s="1">
        <f t="shared" si="3"/>
        <v>0.24513610142352654</v>
      </c>
      <c r="G21" s="1">
        <v>7</v>
      </c>
      <c r="O21" s="1">
        <f t="shared" si="4"/>
        <v>0.17873303167420815</v>
      </c>
      <c r="P21" s="1">
        <f t="shared" si="5"/>
        <v>0.1715470158583931</v>
      </c>
    </row>
    <row r="22" spans="1:16" ht="15.75" customHeight="1" x14ac:dyDescent="0.15">
      <c r="A22" s="1">
        <v>6</v>
      </c>
      <c r="B22" s="1">
        <v>1062</v>
      </c>
      <c r="C22" s="1">
        <v>788</v>
      </c>
      <c r="D22" s="1">
        <v>3993</v>
      </c>
      <c r="E22" s="1">
        <f t="shared" si="2"/>
        <v>0.26596543951915852</v>
      </c>
      <c r="F22" s="1">
        <f t="shared" si="3"/>
        <v>0.25623478318089093</v>
      </c>
      <c r="G22" s="1">
        <v>8</v>
      </c>
      <c r="O22" s="1">
        <f t="shared" si="4"/>
        <v>0.19734535437014775</v>
      </c>
      <c r="P22" s="1">
        <f t="shared" si="5"/>
        <v>0.19012524401745956</v>
      </c>
    </row>
    <row r="23" spans="1:16" ht="15.75" customHeight="1" x14ac:dyDescent="0.15">
      <c r="A23" s="1">
        <v>7</v>
      </c>
      <c r="B23" s="1">
        <v>1104</v>
      </c>
      <c r="C23" s="1">
        <v>806</v>
      </c>
      <c r="D23" s="1">
        <v>3967</v>
      </c>
      <c r="E23" s="1">
        <f t="shared" si="2"/>
        <v>0.27829594151751952</v>
      </c>
      <c r="F23" s="1">
        <f t="shared" si="3"/>
        <v>0.26636836217674537</v>
      </c>
      <c r="G23" s="1">
        <v>9</v>
      </c>
      <c r="O23" s="1">
        <f t="shared" si="4"/>
        <v>0.20317620368036299</v>
      </c>
      <c r="P23" s="1">
        <f t="shared" si="5"/>
        <v>0.19446820644425433</v>
      </c>
    </row>
    <row r="24" spans="1:16" ht="15.75" customHeight="1" x14ac:dyDescent="0.15">
      <c r="A24" s="1">
        <v>8</v>
      </c>
      <c r="B24" s="1">
        <v>1208</v>
      </c>
      <c r="C24" s="1">
        <v>872</v>
      </c>
      <c r="D24" s="1">
        <v>4183</v>
      </c>
      <c r="E24" s="1">
        <f t="shared" si="2"/>
        <v>0.28878795123117379</v>
      </c>
      <c r="F24" s="1">
        <f t="shared" si="3"/>
        <v>0.29146103397600404</v>
      </c>
      <c r="G24" s="1">
        <v>10</v>
      </c>
      <c r="O24" s="1">
        <f t="shared" si="4"/>
        <v>0.20846282572316518</v>
      </c>
      <c r="P24" s="1">
        <f t="shared" si="5"/>
        <v>0.21039240200916845</v>
      </c>
    </row>
    <row r="25" spans="1:16" ht="15.75" customHeight="1" x14ac:dyDescent="0.15">
      <c r="A25" s="1">
        <v>9</v>
      </c>
      <c r="B25" s="1">
        <v>1282</v>
      </c>
      <c r="C25" s="1">
        <v>878</v>
      </c>
      <c r="D25" s="1">
        <v>4174</v>
      </c>
      <c r="E25" s="1">
        <f t="shared" si="2"/>
        <v>0.30713943459511261</v>
      </c>
      <c r="F25" s="1">
        <f t="shared" si="3"/>
        <v>0.30931543506393805</v>
      </c>
      <c r="G25" s="1">
        <v>11</v>
      </c>
      <c r="O25" s="1">
        <f t="shared" si="4"/>
        <v>0.21034978437949209</v>
      </c>
      <c r="P25" s="1">
        <f t="shared" si="5"/>
        <v>0.21184005615143339</v>
      </c>
    </row>
    <row r="26" spans="1:16" ht="15.75" customHeight="1" x14ac:dyDescent="0.15">
      <c r="A26" s="1">
        <v>10</v>
      </c>
      <c r="B26" s="1">
        <v>1304</v>
      </c>
      <c r="C26" s="1">
        <v>957</v>
      </c>
      <c r="D26" s="1">
        <v>4233</v>
      </c>
      <c r="E26" s="1">
        <f t="shared" si="2"/>
        <v>0.3080557524214505</v>
      </c>
      <c r="F26" s="1">
        <f t="shared" si="3"/>
        <v>0.31462350025224273</v>
      </c>
      <c r="G26" s="1">
        <v>12</v>
      </c>
      <c r="O26" s="1">
        <f t="shared" si="4"/>
        <v>0.22608079376328843</v>
      </c>
      <c r="P26" s="1">
        <f t="shared" si="5"/>
        <v>0.23090083569125483</v>
      </c>
    </row>
    <row r="27" spans="1:16" ht="15.75" customHeight="1" x14ac:dyDescent="0.15">
      <c r="A27" s="1">
        <v>11</v>
      </c>
      <c r="B27" s="1">
        <v>1369</v>
      </c>
      <c r="C27" s="1">
        <v>1072</v>
      </c>
      <c r="D27" s="1">
        <v>4162</v>
      </c>
      <c r="E27" s="1">
        <f t="shared" si="2"/>
        <v>0.32892839980778471</v>
      </c>
      <c r="F27" s="1">
        <f t="shared" si="3"/>
        <v>0.33030642012677935</v>
      </c>
      <c r="G27" s="1">
        <v>13</v>
      </c>
      <c r="O27" s="1">
        <f t="shared" si="4"/>
        <v>0.25756847669389715</v>
      </c>
      <c r="P27" s="1">
        <f t="shared" si="5"/>
        <v>0.25864754008466584</v>
      </c>
    </row>
    <row r="28" spans="1:16" ht="15.75" customHeight="1" x14ac:dyDescent="0.15">
      <c r="A28" s="1">
        <v>12</v>
      </c>
      <c r="B28" s="1">
        <v>1450</v>
      </c>
      <c r="C28" s="1">
        <v>1133</v>
      </c>
      <c r="D28" s="1">
        <v>4074</v>
      </c>
      <c r="E28" s="1">
        <f t="shared" si="2"/>
        <v>0.35591556210112912</v>
      </c>
      <c r="F28" s="1">
        <f t="shared" si="3"/>
        <v>0.34984975104735583</v>
      </c>
      <c r="G28" s="1">
        <v>14</v>
      </c>
      <c r="O28" s="1">
        <f t="shared" si="4"/>
        <v>0.27810505645557193</v>
      </c>
      <c r="P28" s="1">
        <f t="shared" si="5"/>
        <v>0.2733653571976925</v>
      </c>
    </row>
    <row r="29" spans="1:16" ht="15.75" customHeight="1" x14ac:dyDescent="0.15">
      <c r="A29" s="1"/>
      <c r="B29" s="1"/>
      <c r="C29" s="1"/>
      <c r="D29" s="1"/>
      <c r="E29" s="1"/>
      <c r="F29" s="1"/>
      <c r="G29" s="1"/>
    </row>
    <row r="30" spans="1:16" ht="15.75" customHeight="1" x14ac:dyDescent="0.15">
      <c r="A30" s="1"/>
      <c r="G30" s="1"/>
    </row>
    <row r="31" spans="1:16" ht="15.75" customHeight="1" x14ac:dyDescent="0.15">
      <c r="A31" s="1" t="s">
        <v>8</v>
      </c>
    </row>
    <row r="32" spans="1:16" ht="15.75" customHeight="1" x14ac:dyDescent="0.15">
      <c r="A32" s="1">
        <v>1</v>
      </c>
      <c r="B32" s="1">
        <v>1637</v>
      </c>
      <c r="C32" s="1">
        <v>1251</v>
      </c>
      <c r="D32" s="1">
        <v>4320</v>
      </c>
      <c r="E32" s="1">
        <f t="shared" ref="E32:E41" si="6">B:B/D:D</f>
        <v>0.37893518518518521</v>
      </c>
      <c r="F32" s="1">
        <f t="shared" ref="F32:F41" si="7">B:B/$D$57</f>
        <v>0.39496830514794584</v>
      </c>
      <c r="G32" s="1">
        <v>17</v>
      </c>
      <c r="O32" s="1">
        <f t="shared" ref="O32:O41" si="8">C:C/D:D</f>
        <v>0.28958333333333336</v>
      </c>
      <c r="P32" s="1">
        <f t="shared" ref="P32:P41" si="9">C:C/$D$57</f>
        <v>0.30183588866223593</v>
      </c>
    </row>
    <row r="33" spans="1:16" ht="15.75" customHeight="1" x14ac:dyDescent="0.15">
      <c r="A33" s="1">
        <v>2</v>
      </c>
      <c r="B33" s="1">
        <v>1744</v>
      </c>
      <c r="C33" s="1">
        <v>1284</v>
      </c>
      <c r="D33" s="1">
        <v>4373</v>
      </c>
      <c r="E33" s="1">
        <f t="shared" si="6"/>
        <v>0.39881088497598904</v>
      </c>
      <c r="F33" s="1">
        <f t="shared" si="7"/>
        <v>0.4207848040183369</v>
      </c>
      <c r="G33" s="1">
        <v>18</v>
      </c>
      <c r="O33" s="1">
        <f t="shared" si="8"/>
        <v>0.29361994054424878</v>
      </c>
      <c r="P33" s="1">
        <f t="shared" si="9"/>
        <v>0.30979798644469303</v>
      </c>
    </row>
    <row r="34" spans="1:16" ht="15.75" customHeight="1" x14ac:dyDescent="0.15">
      <c r="A34" s="1">
        <v>3</v>
      </c>
      <c r="B34" s="1">
        <v>1777</v>
      </c>
      <c r="C34" s="1">
        <v>1319</v>
      </c>
      <c r="D34" s="1">
        <v>4326</v>
      </c>
      <c r="E34" s="1">
        <f t="shared" si="6"/>
        <v>0.41077207582061953</v>
      </c>
      <c r="F34" s="1">
        <f t="shared" si="7"/>
        <v>0.428746901800794</v>
      </c>
      <c r="G34" s="1">
        <v>19</v>
      </c>
      <c r="O34" s="1">
        <f t="shared" si="8"/>
        <v>0.30490060101710587</v>
      </c>
      <c r="P34" s="1">
        <f t="shared" si="9"/>
        <v>0.31824263560790506</v>
      </c>
    </row>
    <row r="35" spans="1:16" ht="15.75" customHeight="1" x14ac:dyDescent="0.15">
      <c r="A35" s="1">
        <v>4</v>
      </c>
      <c r="B35" s="1">
        <v>1751</v>
      </c>
      <c r="C35" s="1">
        <v>1329</v>
      </c>
      <c r="D35" s="1">
        <v>4233</v>
      </c>
      <c r="E35" s="1">
        <f t="shared" si="6"/>
        <v>0.41365461847389556</v>
      </c>
      <c r="F35" s="1">
        <f t="shared" si="7"/>
        <v>0.4224737338509793</v>
      </c>
      <c r="G35" s="1">
        <v>20</v>
      </c>
      <c r="O35" s="1">
        <f t="shared" si="8"/>
        <v>0.31396172927002125</v>
      </c>
      <c r="P35" s="1">
        <f t="shared" si="9"/>
        <v>0.3206553925116799</v>
      </c>
    </row>
    <row r="36" spans="1:16" ht="15.75" customHeight="1" x14ac:dyDescent="0.15">
      <c r="A36" s="1">
        <v>5</v>
      </c>
      <c r="B36" s="1">
        <v>1830</v>
      </c>
      <c r="C36" s="1">
        <v>1337</v>
      </c>
      <c r="D36" s="1">
        <v>4476</v>
      </c>
      <c r="E36" s="1">
        <f t="shared" si="6"/>
        <v>0.40884718498659517</v>
      </c>
      <c r="F36" s="1">
        <f t="shared" si="7"/>
        <v>0.4415345133908008</v>
      </c>
      <c r="G36" s="1">
        <v>21</v>
      </c>
      <c r="O36" s="1">
        <f t="shared" si="8"/>
        <v>0.29870420017873101</v>
      </c>
      <c r="P36" s="1">
        <f t="shared" si="9"/>
        <v>0.32258559803469983</v>
      </c>
    </row>
    <row r="37" spans="1:16" ht="15.75" customHeight="1" x14ac:dyDescent="0.15">
      <c r="A37" s="1">
        <v>6</v>
      </c>
      <c r="B37" s="1">
        <v>1943</v>
      </c>
      <c r="C37" s="1">
        <v>1316</v>
      </c>
      <c r="D37" s="1">
        <v>4340</v>
      </c>
      <c r="E37" s="1">
        <f t="shared" si="6"/>
        <v>0.44769585253456223</v>
      </c>
      <c r="F37" s="1">
        <f t="shared" si="7"/>
        <v>0.4687986664034568</v>
      </c>
      <c r="G37" s="1">
        <v>22</v>
      </c>
      <c r="O37" s="1">
        <f t="shared" si="8"/>
        <v>0.3032258064516129</v>
      </c>
      <c r="P37" s="1">
        <f t="shared" si="9"/>
        <v>0.31751880853677256</v>
      </c>
    </row>
    <row r="38" spans="1:16" ht="15.75" customHeight="1" x14ac:dyDescent="0.15">
      <c r="A38" s="1">
        <v>7</v>
      </c>
      <c r="B38" s="1">
        <v>1936</v>
      </c>
      <c r="C38" s="1">
        <v>1336</v>
      </c>
      <c r="D38" s="1">
        <v>4409</v>
      </c>
      <c r="E38" s="1">
        <f t="shared" si="6"/>
        <v>0.43910183715128148</v>
      </c>
      <c r="F38" s="1">
        <f t="shared" si="7"/>
        <v>0.46710973657081439</v>
      </c>
      <c r="G38" s="1">
        <v>23</v>
      </c>
      <c r="O38" s="1">
        <f t="shared" si="8"/>
        <v>0.30301655704241326</v>
      </c>
      <c r="P38" s="1">
        <f t="shared" si="9"/>
        <v>0.32234432234432231</v>
      </c>
    </row>
    <row r="39" spans="1:16" ht="15.75" customHeight="1" x14ac:dyDescent="0.15">
      <c r="A39" s="1">
        <v>8</v>
      </c>
      <c r="B39" s="1">
        <v>1901</v>
      </c>
      <c r="C39" s="1">
        <v>1400</v>
      </c>
      <c r="D39" s="1">
        <v>4329</v>
      </c>
      <c r="E39" s="1">
        <f t="shared" si="6"/>
        <v>0.43913143913143915</v>
      </c>
      <c r="F39" s="1">
        <f t="shared" si="7"/>
        <v>0.45866508740760237</v>
      </c>
      <c r="G39" s="1">
        <v>24</v>
      </c>
      <c r="O39" s="1">
        <f t="shared" si="8"/>
        <v>0.32340032340032338</v>
      </c>
      <c r="P39" s="1">
        <f t="shared" si="9"/>
        <v>0.33778596652848147</v>
      </c>
    </row>
    <row r="40" spans="1:16" ht="15.75" customHeight="1" x14ac:dyDescent="0.15">
      <c r="A40" s="1">
        <v>9</v>
      </c>
      <c r="B40" s="1">
        <v>1995</v>
      </c>
      <c r="C40" s="1">
        <v>1403</v>
      </c>
      <c r="D40" s="1">
        <v>4391</v>
      </c>
      <c r="E40" s="1">
        <f t="shared" si="6"/>
        <v>0.45433841949442039</v>
      </c>
      <c r="F40" s="1">
        <f t="shared" si="7"/>
        <v>0.48134500230308608</v>
      </c>
      <c r="G40" s="1">
        <v>25</v>
      </c>
      <c r="O40" s="1">
        <f t="shared" si="8"/>
        <v>0.3195171942609884</v>
      </c>
      <c r="P40" s="1">
        <f t="shared" si="9"/>
        <v>0.33850979359961392</v>
      </c>
    </row>
    <row r="41" spans="1:16" ht="15.75" customHeight="1" x14ac:dyDescent="0.15">
      <c r="A41" s="1">
        <v>10</v>
      </c>
      <c r="B41" s="1">
        <v>2022</v>
      </c>
      <c r="C41" s="1">
        <v>1446</v>
      </c>
      <c r="D41" s="1">
        <v>4342</v>
      </c>
      <c r="E41" s="1">
        <f t="shared" si="6"/>
        <v>0.46568401658222019</v>
      </c>
      <c r="F41" s="1">
        <f t="shared" si="7"/>
        <v>0.48785944594327824</v>
      </c>
      <c r="G41" s="1">
        <v>26</v>
      </c>
      <c r="O41" s="1">
        <f t="shared" si="8"/>
        <v>0.33302625518194379</v>
      </c>
      <c r="P41" s="1">
        <f t="shared" si="9"/>
        <v>0.34888464828584587</v>
      </c>
    </row>
    <row r="42" spans="1:16" ht="15.75" customHeight="1" x14ac:dyDescent="0.15">
      <c r="A42" s="1"/>
      <c r="C42" s="1"/>
      <c r="G42" s="1"/>
    </row>
    <row r="43" spans="1:16" ht="15.75" customHeight="1" x14ac:dyDescent="0.15">
      <c r="A43" s="1"/>
      <c r="C43" s="1"/>
      <c r="G43" s="1"/>
    </row>
    <row r="44" spans="1:16" ht="15.75" customHeight="1" x14ac:dyDescent="0.15">
      <c r="A44" s="1" t="s">
        <v>9</v>
      </c>
    </row>
    <row r="45" spans="1:16" ht="15.75" customHeight="1" x14ac:dyDescent="0.15">
      <c r="A45" s="1">
        <v>1</v>
      </c>
      <c r="B45" s="1">
        <v>2144</v>
      </c>
      <c r="C45" s="1">
        <v>1353</v>
      </c>
      <c r="D45" s="1">
        <v>4289</v>
      </c>
      <c r="E45" s="1">
        <f t="shared" ref="E45:E54" si="10">B:B/D:D</f>
        <v>0.49988342270925623</v>
      </c>
      <c r="F45" s="1">
        <f t="shared" ref="F45:F54" si="11">B:B/$D$57</f>
        <v>0.51729508016933168</v>
      </c>
      <c r="G45" s="1">
        <v>29</v>
      </c>
      <c r="O45" s="1">
        <f t="shared" ref="O45:O54" si="12">C:C/D:D</f>
        <v>0.31545814875262301</v>
      </c>
      <c r="P45" s="1">
        <f t="shared" ref="P45:P54" si="13">C:C/$D$57</f>
        <v>0.32644600908073962</v>
      </c>
    </row>
    <row r="46" spans="1:16" ht="15.75" customHeight="1" x14ac:dyDescent="0.15">
      <c r="A46" s="1">
        <v>2</v>
      </c>
      <c r="B46" s="1">
        <v>1974</v>
      </c>
      <c r="C46" s="1">
        <v>1355</v>
      </c>
      <c r="D46" s="1">
        <v>4259</v>
      </c>
      <c r="E46" s="1">
        <f t="shared" si="10"/>
        <v>0.46348908194411836</v>
      </c>
      <c r="F46" s="1">
        <f t="shared" si="11"/>
        <v>0.47627821280515886</v>
      </c>
      <c r="G46" s="1">
        <v>30</v>
      </c>
      <c r="O46" s="1">
        <f t="shared" si="12"/>
        <v>0.31814980042263441</v>
      </c>
      <c r="P46" s="1">
        <f t="shared" si="13"/>
        <v>0.32692856046149454</v>
      </c>
    </row>
    <row r="47" spans="1:16" ht="15.75" customHeight="1" x14ac:dyDescent="0.15">
      <c r="A47" s="1">
        <v>3</v>
      </c>
      <c r="B47" s="1">
        <v>2157</v>
      </c>
      <c r="C47" s="1">
        <v>1370</v>
      </c>
      <c r="D47" s="1">
        <v>4446</v>
      </c>
      <c r="E47" s="1">
        <f t="shared" si="10"/>
        <v>0.4851551956815115</v>
      </c>
      <c r="F47" s="1">
        <f t="shared" si="11"/>
        <v>0.52043166414423891</v>
      </c>
      <c r="G47" s="1">
        <v>31</v>
      </c>
      <c r="O47" s="1">
        <f t="shared" si="12"/>
        <v>0.30814215024741343</v>
      </c>
      <c r="P47" s="1">
        <f t="shared" si="13"/>
        <v>0.33054769581715687</v>
      </c>
    </row>
    <row r="48" spans="1:16" ht="15.75" customHeight="1" x14ac:dyDescent="0.15">
      <c r="A48" s="1">
        <v>4</v>
      </c>
      <c r="B48" s="1">
        <v>2168</v>
      </c>
      <c r="C48" s="1">
        <v>1389</v>
      </c>
      <c r="D48" s="1">
        <v>4255</v>
      </c>
      <c r="E48" s="1">
        <f t="shared" si="10"/>
        <v>0.5095182138660399</v>
      </c>
      <c r="F48" s="1">
        <f t="shared" si="11"/>
        <v>0.52308569673839134</v>
      </c>
      <c r="G48" s="1">
        <v>32</v>
      </c>
      <c r="O48" s="1">
        <f t="shared" si="12"/>
        <v>0.3264394829612221</v>
      </c>
      <c r="P48" s="1">
        <f t="shared" si="13"/>
        <v>0.33513193393432911</v>
      </c>
    </row>
    <row r="49" spans="1:16" ht="15.75" customHeight="1" x14ac:dyDescent="0.15">
      <c r="A49" s="1">
        <v>5</v>
      </c>
      <c r="B49" s="1">
        <v>2197</v>
      </c>
      <c r="C49" s="1">
        <v>1377</v>
      </c>
      <c r="D49" s="1">
        <v>4462</v>
      </c>
      <c r="E49" s="1">
        <f t="shared" si="10"/>
        <v>0.49238009861048859</v>
      </c>
      <c r="F49" s="1">
        <f t="shared" si="11"/>
        <v>0.53008269175933842</v>
      </c>
      <c r="G49" s="1">
        <v>33</v>
      </c>
      <c r="O49" s="1">
        <f t="shared" si="12"/>
        <v>0.3086060062752129</v>
      </c>
      <c r="P49" s="1">
        <f t="shared" si="13"/>
        <v>0.33223662564979928</v>
      </c>
    </row>
    <row r="50" spans="1:16" ht="15.75" customHeight="1" x14ac:dyDescent="0.15">
      <c r="A50" s="1">
        <v>6</v>
      </c>
      <c r="B50" s="1">
        <v>2226</v>
      </c>
      <c r="C50" s="1">
        <v>1400</v>
      </c>
      <c r="D50" s="1">
        <v>4359</v>
      </c>
      <c r="E50" s="1">
        <f t="shared" si="10"/>
        <v>0.51066758430832759</v>
      </c>
      <c r="F50" s="1">
        <f t="shared" si="11"/>
        <v>0.5370796867802855</v>
      </c>
      <c r="G50" s="1">
        <v>34</v>
      </c>
      <c r="O50" s="1">
        <f t="shared" si="12"/>
        <v>0.32117458132599219</v>
      </c>
      <c r="P50" s="1">
        <f t="shared" si="13"/>
        <v>0.33778596652848147</v>
      </c>
    </row>
    <row r="51" spans="1:16" ht="15.75" customHeight="1" x14ac:dyDescent="0.15">
      <c r="A51" s="1">
        <v>7</v>
      </c>
      <c r="B51" s="1">
        <v>2341</v>
      </c>
      <c r="C51" s="1">
        <v>1317</v>
      </c>
      <c r="D51" s="1">
        <v>4409</v>
      </c>
      <c r="E51" s="1">
        <f t="shared" si="10"/>
        <v>0.53095940122476748</v>
      </c>
      <c r="F51" s="1">
        <f t="shared" si="11"/>
        <v>0.56482639117369648</v>
      </c>
      <c r="G51" s="1">
        <v>35</v>
      </c>
      <c r="O51" s="1">
        <f t="shared" si="12"/>
        <v>0.29870718983896577</v>
      </c>
      <c r="P51" s="1">
        <f t="shared" si="13"/>
        <v>0.31776008422715007</v>
      </c>
    </row>
    <row r="52" spans="1:16" ht="15.75" customHeight="1" x14ac:dyDescent="0.15">
      <c r="A52" s="1">
        <v>8</v>
      </c>
      <c r="B52" s="1">
        <v>2291</v>
      </c>
      <c r="C52" s="1">
        <v>1364</v>
      </c>
      <c r="D52" s="1">
        <v>4379</v>
      </c>
      <c r="E52" s="1">
        <f t="shared" si="10"/>
        <v>0.52317880794701987</v>
      </c>
      <c r="F52" s="1">
        <f t="shared" si="11"/>
        <v>0.55276260665482213</v>
      </c>
      <c r="G52" s="1">
        <v>36</v>
      </c>
      <c r="O52" s="1">
        <f t="shared" si="12"/>
        <v>0.31148664078556748</v>
      </c>
      <c r="P52" s="1">
        <f t="shared" si="13"/>
        <v>0.32910004167489193</v>
      </c>
    </row>
    <row r="53" spans="1:16" ht="15.75" customHeight="1" x14ac:dyDescent="0.15">
      <c r="A53" s="2">
        <v>9</v>
      </c>
      <c r="B53" s="1">
        <v>2445</v>
      </c>
      <c r="C53" s="1">
        <v>1362</v>
      </c>
      <c r="D53" s="3">
        <v>3803</v>
      </c>
      <c r="E53" s="1">
        <f t="shared" si="10"/>
        <v>0.64291348935051273</v>
      </c>
      <c r="F53" s="1">
        <f t="shared" si="11"/>
        <v>0.58991906297295515</v>
      </c>
      <c r="G53" s="1">
        <v>37</v>
      </c>
      <c r="O53" s="1">
        <f t="shared" si="12"/>
        <v>0.35813831185905864</v>
      </c>
      <c r="P53" s="1">
        <f t="shared" si="13"/>
        <v>0.32861749029413695</v>
      </c>
    </row>
    <row r="54" spans="1:16" ht="15.75" customHeight="1" x14ac:dyDescent="0.15">
      <c r="A54" s="1">
        <v>10</v>
      </c>
      <c r="B54" s="1">
        <v>2408</v>
      </c>
      <c r="C54" s="1">
        <v>1364</v>
      </c>
      <c r="D54" s="1">
        <v>4456</v>
      </c>
      <c r="E54" s="1">
        <f t="shared" si="10"/>
        <v>0.54039497307001794</v>
      </c>
      <c r="F54" s="1">
        <f t="shared" si="11"/>
        <v>0.58099186242898815</v>
      </c>
      <c r="G54" s="1">
        <v>38</v>
      </c>
      <c r="O54" s="1">
        <f t="shared" si="12"/>
        <v>0.30610412926391384</v>
      </c>
      <c r="P54" s="1">
        <f t="shared" si="13"/>
        <v>0.32910004167489193</v>
      </c>
    </row>
    <row r="55" spans="1:16" ht="15.75" customHeight="1" x14ac:dyDescent="0.15">
      <c r="A55" s="1">
        <v>11</v>
      </c>
      <c r="G55" s="1"/>
    </row>
    <row r="56" spans="1:16" ht="15.75" customHeight="1" x14ac:dyDescent="0.15">
      <c r="A56" s="1">
        <v>12</v>
      </c>
      <c r="G56" s="1"/>
    </row>
    <row r="57" spans="1:16" ht="15.75" customHeight="1" x14ac:dyDescent="0.15">
      <c r="D57" s="1">
        <f>AVERAGE(D2:D56)</f>
        <v>4144.636363636364</v>
      </c>
    </row>
    <row r="59" spans="1:16" ht="15.75" customHeight="1" x14ac:dyDescent="0.15">
      <c r="A59" s="1" t="s">
        <v>10</v>
      </c>
    </row>
    <row r="60" spans="1:16" ht="13" x14ac:dyDescent="0.15">
      <c r="A60" s="1">
        <v>1</v>
      </c>
      <c r="D60" s="1">
        <v>3732</v>
      </c>
      <c r="E60" s="1">
        <f t="shared" ref="E60:E71" si="14">B:B/D:D</f>
        <v>0</v>
      </c>
    </row>
    <row r="61" spans="1:16" ht="13" x14ac:dyDescent="0.15">
      <c r="A61" s="1">
        <v>2</v>
      </c>
      <c r="D61" s="1">
        <v>4000</v>
      </c>
      <c r="E61" s="1">
        <f t="shared" si="14"/>
        <v>0</v>
      </c>
    </row>
    <row r="62" spans="1:16" ht="13" x14ac:dyDescent="0.15">
      <c r="A62" s="1">
        <v>3</v>
      </c>
      <c r="D62" s="1">
        <v>3845</v>
      </c>
      <c r="E62" s="1">
        <f t="shared" si="14"/>
        <v>0</v>
      </c>
    </row>
    <row r="63" spans="1:16" ht="13" x14ac:dyDescent="0.15">
      <c r="A63" s="1">
        <v>4</v>
      </c>
      <c r="D63" s="1">
        <v>3985</v>
      </c>
      <c r="E63" s="1">
        <f t="shared" si="14"/>
        <v>0</v>
      </c>
    </row>
    <row r="64" spans="1:16" ht="13" x14ac:dyDescent="0.15">
      <c r="A64" s="1">
        <v>5</v>
      </c>
      <c r="D64" s="1">
        <v>4023</v>
      </c>
      <c r="E64" s="1">
        <f t="shared" si="14"/>
        <v>0</v>
      </c>
    </row>
    <row r="65" spans="1:16" ht="13" x14ac:dyDescent="0.15">
      <c r="A65" s="1">
        <v>6</v>
      </c>
      <c r="D65" s="1">
        <v>4156</v>
      </c>
      <c r="E65" s="1">
        <f t="shared" si="14"/>
        <v>0</v>
      </c>
    </row>
    <row r="66" spans="1:16" ht="13" x14ac:dyDescent="0.15">
      <c r="A66" s="1">
        <v>7</v>
      </c>
      <c r="D66" s="1">
        <v>4114</v>
      </c>
      <c r="E66" s="1">
        <f t="shared" si="14"/>
        <v>0</v>
      </c>
    </row>
    <row r="67" spans="1:16" ht="13" x14ac:dyDescent="0.15">
      <c r="A67" s="2">
        <v>8</v>
      </c>
      <c r="D67" s="1">
        <v>4138</v>
      </c>
      <c r="E67" s="1">
        <f t="shared" si="14"/>
        <v>0</v>
      </c>
      <c r="G67" s="1">
        <v>1</v>
      </c>
    </row>
    <row r="68" spans="1:16" ht="13" x14ac:dyDescent="0.15">
      <c r="A68" s="1">
        <v>9</v>
      </c>
      <c r="B68" s="1">
        <v>165</v>
      </c>
      <c r="C68" s="1">
        <v>159</v>
      </c>
      <c r="D68" s="1">
        <v>4113</v>
      </c>
      <c r="E68" s="1">
        <f t="shared" si="14"/>
        <v>4.0116703136396793E-2</v>
      </c>
      <c r="F68" s="1">
        <f>B:B/$D$113</f>
        <v>3.9540576162681224E-2</v>
      </c>
      <c r="G68" s="1">
        <v>2</v>
      </c>
      <c r="O68" s="1">
        <f>C:C/D:D</f>
        <v>3.8657913931436909E-2</v>
      </c>
      <c r="P68" s="1">
        <f>C:C/$D$113</f>
        <v>3.8102737029492816E-2</v>
      </c>
    </row>
    <row r="69" spans="1:16" ht="13" x14ac:dyDescent="0.15">
      <c r="A69" s="1">
        <v>10</v>
      </c>
      <c r="B69" s="1">
        <v>335</v>
      </c>
      <c r="C69" s="1">
        <v>261</v>
      </c>
      <c r="D69" s="1">
        <v>4084</v>
      </c>
      <c r="E69" s="1">
        <f t="shared" si="14"/>
        <v>8.202742409402547E-2</v>
      </c>
      <c r="F69" s="1">
        <f>B:B/$D$113</f>
        <v>8.0279351603019466E-2</v>
      </c>
      <c r="G69" s="1">
        <v>3</v>
      </c>
      <c r="O69" s="1">
        <f>C:C/D:D</f>
        <v>6.3907933398628797E-2</v>
      </c>
      <c r="P69" s="1">
        <f>C:C/$D$113</f>
        <v>6.2546002293695752E-2</v>
      </c>
    </row>
    <row r="70" spans="1:16" ht="13" x14ac:dyDescent="0.15">
      <c r="A70" s="1">
        <v>11</v>
      </c>
      <c r="B70" s="1">
        <v>524</v>
      </c>
      <c r="C70" s="1">
        <v>344</v>
      </c>
      <c r="D70" s="1">
        <v>3972</v>
      </c>
      <c r="E70" s="1">
        <f t="shared" si="14"/>
        <v>0.13192346424974824</v>
      </c>
      <c r="F70" s="1">
        <f>B:B/$D$113</f>
        <v>0.12557128429845432</v>
      </c>
      <c r="G70" s="1">
        <v>4</v>
      </c>
      <c r="O70" s="1">
        <f>C:C/D:D</f>
        <v>8.6606243705941596E-2</v>
      </c>
      <c r="P70" s="1">
        <f>C:C/$D$113</f>
        <v>8.2436110302802068E-2</v>
      </c>
    </row>
    <row r="71" spans="1:16" ht="13" x14ac:dyDescent="0.15">
      <c r="A71" s="1">
        <v>12</v>
      </c>
      <c r="B71" s="1">
        <v>595</v>
      </c>
      <c r="C71" s="1">
        <v>372</v>
      </c>
      <c r="D71" s="1">
        <v>3992</v>
      </c>
      <c r="E71" s="1">
        <f t="shared" si="14"/>
        <v>0.14904809619238477</v>
      </c>
      <c r="F71" s="1">
        <f>B:B/$D$113</f>
        <v>0.14258571404118381</v>
      </c>
      <c r="G71" s="1">
        <v>5</v>
      </c>
      <c r="O71" s="1">
        <f>C:C/D:D</f>
        <v>9.3186372745490978E-2</v>
      </c>
      <c r="P71" s="1">
        <f>C:C/$D$113</f>
        <v>8.914602625768131E-2</v>
      </c>
    </row>
    <row r="72" spans="1:16" ht="13" x14ac:dyDescent="0.15">
      <c r="A72" s="1">
        <v>13</v>
      </c>
      <c r="G72" s="1">
        <v>6</v>
      </c>
    </row>
    <row r="73" spans="1:16" ht="13" x14ac:dyDescent="0.15">
      <c r="A73" s="1">
        <v>14</v>
      </c>
      <c r="G73" s="1">
        <v>7</v>
      </c>
    </row>
    <row r="74" spans="1:16" ht="13" x14ac:dyDescent="0.15">
      <c r="A74" s="1" t="s">
        <v>11</v>
      </c>
    </row>
    <row r="75" spans="1:16" ht="13" x14ac:dyDescent="0.15">
      <c r="A75" s="1">
        <v>1</v>
      </c>
      <c r="B75" s="1">
        <v>920</v>
      </c>
      <c r="C75" s="1">
        <v>635</v>
      </c>
      <c r="D75" s="1">
        <v>4072</v>
      </c>
      <c r="E75" s="1">
        <f t="shared" ref="E75:E84" si="15">B:B/D:D</f>
        <v>0.22593320235756384</v>
      </c>
      <c r="F75" s="1">
        <f t="shared" ref="F75:F84" si="16">B:B/$D$113</f>
        <v>0.22046866708888926</v>
      </c>
      <c r="G75" s="1">
        <v>8</v>
      </c>
      <c r="O75" s="1">
        <f t="shared" ref="O75:O84" si="17">C:C/D:D</f>
        <v>0.15594302554027506</v>
      </c>
      <c r="P75" s="1">
        <f t="shared" ref="P75:P84" si="18">C:C/$D$113</f>
        <v>0.15217130826243988</v>
      </c>
    </row>
    <row r="76" spans="1:16" ht="13" x14ac:dyDescent="0.15">
      <c r="A76" s="1">
        <v>2</v>
      </c>
      <c r="B76" s="1">
        <v>984</v>
      </c>
      <c r="C76" s="1">
        <v>613</v>
      </c>
      <c r="D76" s="1">
        <v>4190</v>
      </c>
      <c r="E76" s="1">
        <f t="shared" si="15"/>
        <v>0.23484486873508353</v>
      </c>
      <c r="F76" s="1">
        <f t="shared" si="16"/>
        <v>0.23580561784289894</v>
      </c>
      <c r="G76" s="1">
        <v>9</v>
      </c>
      <c r="O76" s="1">
        <f t="shared" si="17"/>
        <v>0.14630071599045347</v>
      </c>
      <c r="P76" s="1">
        <f t="shared" si="18"/>
        <v>0.14689923144074904</v>
      </c>
    </row>
    <row r="77" spans="1:16" ht="13" x14ac:dyDescent="0.15">
      <c r="A77" s="1">
        <v>3</v>
      </c>
      <c r="B77" s="1">
        <v>1021</v>
      </c>
      <c r="C77" s="1">
        <v>738</v>
      </c>
      <c r="D77" s="1">
        <v>3980</v>
      </c>
      <c r="E77" s="1">
        <f t="shared" si="15"/>
        <v>0.25653266331658292</v>
      </c>
      <c r="F77" s="1">
        <f t="shared" si="16"/>
        <v>0.24467229249756081</v>
      </c>
      <c r="G77" s="1">
        <v>10</v>
      </c>
      <c r="O77" s="1">
        <f t="shared" si="17"/>
        <v>0.18542713567839195</v>
      </c>
      <c r="P77" s="1">
        <f t="shared" si="18"/>
        <v>0.17685421338217422</v>
      </c>
    </row>
    <row r="78" spans="1:16" ht="13" x14ac:dyDescent="0.15">
      <c r="A78" s="1">
        <v>4</v>
      </c>
      <c r="B78" s="1">
        <v>1080</v>
      </c>
      <c r="C78" s="1">
        <v>741</v>
      </c>
      <c r="D78" s="1">
        <v>3998</v>
      </c>
      <c r="E78" s="1">
        <f t="shared" si="15"/>
        <v>0.27013506753376687</v>
      </c>
      <c r="F78" s="1">
        <f t="shared" si="16"/>
        <v>0.25881104397391347</v>
      </c>
      <c r="G78" s="1">
        <v>11</v>
      </c>
      <c r="O78" s="1">
        <f t="shared" si="17"/>
        <v>0.18534267133566784</v>
      </c>
      <c r="P78" s="1">
        <f t="shared" si="18"/>
        <v>0.17757313294876842</v>
      </c>
    </row>
    <row r="79" spans="1:16" ht="13" x14ac:dyDescent="0.15">
      <c r="A79" s="1">
        <v>5</v>
      </c>
      <c r="B79" s="1">
        <v>1142</v>
      </c>
      <c r="C79" s="1">
        <v>781</v>
      </c>
      <c r="D79" s="1">
        <v>3937</v>
      </c>
      <c r="E79" s="1">
        <f t="shared" si="15"/>
        <v>0.29006858013716025</v>
      </c>
      <c r="F79" s="1">
        <f t="shared" si="16"/>
        <v>0.27366871501686035</v>
      </c>
      <c r="G79" s="1">
        <v>12</v>
      </c>
      <c r="O79" s="1">
        <f t="shared" si="17"/>
        <v>0.19837439674879351</v>
      </c>
      <c r="P79" s="1">
        <f t="shared" si="18"/>
        <v>0.18715872717002446</v>
      </c>
    </row>
    <row r="80" spans="1:16" ht="13" x14ac:dyDescent="0.15">
      <c r="A80" s="1">
        <v>6</v>
      </c>
      <c r="B80" s="1">
        <v>1238</v>
      </c>
      <c r="C80" s="1">
        <v>858</v>
      </c>
      <c r="D80" s="1">
        <v>4143</v>
      </c>
      <c r="E80" s="1">
        <f t="shared" si="15"/>
        <v>0.29881728216268405</v>
      </c>
      <c r="F80" s="1">
        <f t="shared" si="16"/>
        <v>0.29667414114787488</v>
      </c>
      <c r="G80" s="1">
        <v>13</v>
      </c>
      <c r="O80" s="1">
        <f t="shared" si="17"/>
        <v>0.20709630702389573</v>
      </c>
      <c r="P80" s="1">
        <f t="shared" si="18"/>
        <v>0.20561099604594238</v>
      </c>
    </row>
    <row r="81" spans="1:16" ht="13" x14ac:dyDescent="0.15">
      <c r="A81" s="1">
        <v>7</v>
      </c>
      <c r="B81" s="1">
        <v>1375</v>
      </c>
      <c r="C81" s="1">
        <v>868</v>
      </c>
      <c r="D81" s="1">
        <v>4023</v>
      </c>
      <c r="E81" s="1">
        <f t="shared" si="15"/>
        <v>0.34178473775789214</v>
      </c>
      <c r="F81" s="1">
        <f t="shared" si="16"/>
        <v>0.32950480135567689</v>
      </c>
      <c r="G81" s="1">
        <v>14</v>
      </c>
      <c r="O81" s="1">
        <f t="shared" si="17"/>
        <v>0.21575938354461843</v>
      </c>
      <c r="P81" s="1">
        <f t="shared" si="18"/>
        <v>0.20800739460125639</v>
      </c>
    </row>
    <row r="82" spans="1:16" ht="13" x14ac:dyDescent="0.15">
      <c r="A82" s="1">
        <v>8</v>
      </c>
      <c r="B82" s="1">
        <v>1374</v>
      </c>
      <c r="C82" s="1">
        <v>959</v>
      </c>
      <c r="D82" s="1">
        <v>4152</v>
      </c>
      <c r="E82" s="1">
        <f t="shared" si="15"/>
        <v>0.33092485549132949</v>
      </c>
      <c r="F82" s="1">
        <f t="shared" si="16"/>
        <v>0.32926516150014551</v>
      </c>
      <c r="G82" s="1">
        <v>15</v>
      </c>
      <c r="O82" s="1">
        <f t="shared" si="17"/>
        <v>0.23097302504816955</v>
      </c>
      <c r="P82" s="1">
        <f t="shared" si="18"/>
        <v>0.22981462145461393</v>
      </c>
    </row>
    <row r="83" spans="1:16" ht="13" x14ac:dyDescent="0.15">
      <c r="A83" s="1">
        <v>9</v>
      </c>
      <c r="B83" s="1">
        <v>1407</v>
      </c>
      <c r="C83" s="1">
        <v>1006</v>
      </c>
      <c r="D83" s="1">
        <v>4243</v>
      </c>
      <c r="E83" s="1">
        <f t="shared" si="15"/>
        <v>0.33160499646476549</v>
      </c>
      <c r="F83" s="1">
        <f t="shared" si="16"/>
        <v>0.33717327673268171</v>
      </c>
      <c r="G83" s="1">
        <v>16</v>
      </c>
      <c r="O83" s="1">
        <f t="shared" si="17"/>
        <v>0.23709639406080604</v>
      </c>
      <c r="P83" s="1">
        <f t="shared" si="18"/>
        <v>0.24107769466458978</v>
      </c>
    </row>
    <row r="84" spans="1:16" ht="13" x14ac:dyDescent="0.15">
      <c r="A84" s="1">
        <v>10</v>
      </c>
      <c r="B84" s="1">
        <v>1504</v>
      </c>
      <c r="C84" s="1">
        <v>1029</v>
      </c>
      <c r="D84" s="1">
        <v>4486</v>
      </c>
      <c r="E84" s="1">
        <f t="shared" si="15"/>
        <v>0.33526526972804283</v>
      </c>
      <c r="F84" s="1">
        <f t="shared" si="16"/>
        <v>0.36041834271922768</v>
      </c>
      <c r="G84" s="1">
        <v>17</v>
      </c>
      <c r="O84" s="1">
        <f t="shared" si="17"/>
        <v>0.22938029424877396</v>
      </c>
      <c r="P84" s="1">
        <f t="shared" si="18"/>
        <v>0.246589411341812</v>
      </c>
    </row>
    <row r="85" spans="1:16" ht="13" x14ac:dyDescent="0.15">
      <c r="A85" s="1">
        <v>11</v>
      </c>
      <c r="G85" s="1">
        <v>18</v>
      </c>
    </row>
    <row r="86" spans="1:16" ht="13" x14ac:dyDescent="0.15">
      <c r="A86" s="1">
        <v>12</v>
      </c>
      <c r="G86" s="1">
        <v>19</v>
      </c>
    </row>
    <row r="87" spans="1:16" ht="13" x14ac:dyDescent="0.15">
      <c r="A87" s="1" t="s">
        <v>12</v>
      </c>
    </row>
    <row r="88" spans="1:16" ht="13" x14ac:dyDescent="0.15">
      <c r="A88" s="1">
        <v>1</v>
      </c>
      <c r="B88" s="1">
        <v>1659</v>
      </c>
      <c r="C88" s="1">
        <v>1184</v>
      </c>
      <c r="D88" s="1">
        <v>4289</v>
      </c>
      <c r="E88" s="1">
        <f t="shared" ref="E88:E97" si="19">B:B/D:D</f>
        <v>0.38680345068780603</v>
      </c>
      <c r="F88" s="1">
        <f t="shared" ref="F88:F97" si="20">B:B/$D$113</f>
        <v>0.39756252032659489</v>
      </c>
      <c r="G88" s="1">
        <v>20</v>
      </c>
      <c r="O88" s="1">
        <f t="shared" ref="O88:O97" si="21">C:C/D:D</f>
        <v>0.27605502448123104</v>
      </c>
      <c r="P88" s="1">
        <f t="shared" ref="P88:P97" si="22">C:C/$D$113</f>
        <v>0.28373358894917922</v>
      </c>
    </row>
    <row r="89" spans="1:16" ht="13" x14ac:dyDescent="0.15">
      <c r="A89" s="1">
        <v>2</v>
      </c>
      <c r="B89" s="1">
        <v>1697</v>
      </c>
      <c r="C89" s="1">
        <v>1101</v>
      </c>
      <c r="D89" s="1">
        <v>4335</v>
      </c>
      <c r="E89" s="1">
        <f t="shared" si="19"/>
        <v>0.39146482122260667</v>
      </c>
      <c r="F89" s="1">
        <f t="shared" si="20"/>
        <v>0.40666883483678812</v>
      </c>
      <c r="G89" s="1">
        <v>21</v>
      </c>
      <c r="O89" s="1">
        <f t="shared" si="21"/>
        <v>0.25397923875432526</v>
      </c>
      <c r="P89" s="1">
        <f t="shared" si="22"/>
        <v>0.26384348094007293</v>
      </c>
    </row>
    <row r="90" spans="1:16" ht="13" x14ac:dyDescent="0.15">
      <c r="A90" s="1">
        <v>3</v>
      </c>
      <c r="B90" s="1">
        <v>1689</v>
      </c>
      <c r="C90" s="1">
        <v>1243</v>
      </c>
      <c r="D90" s="1">
        <v>4194</v>
      </c>
      <c r="E90" s="1">
        <f t="shared" si="19"/>
        <v>0.40271816881258943</v>
      </c>
      <c r="F90" s="1">
        <f t="shared" si="20"/>
        <v>0.4047517159925369</v>
      </c>
      <c r="G90" s="1">
        <v>22</v>
      </c>
      <c r="O90" s="1">
        <f t="shared" si="21"/>
        <v>0.29637577491654743</v>
      </c>
      <c r="P90" s="1">
        <f t="shared" si="22"/>
        <v>0.2978723404255319</v>
      </c>
    </row>
    <row r="91" spans="1:16" ht="13" x14ac:dyDescent="0.15">
      <c r="A91" s="1">
        <v>4</v>
      </c>
      <c r="B91" s="1">
        <v>1711</v>
      </c>
      <c r="C91" s="1">
        <v>1212</v>
      </c>
      <c r="D91" s="1">
        <v>4175</v>
      </c>
      <c r="E91" s="1">
        <f t="shared" si="19"/>
        <v>0.40982035928143712</v>
      </c>
      <c r="F91" s="1">
        <f t="shared" si="20"/>
        <v>0.41002379281422774</v>
      </c>
      <c r="G91" s="1">
        <v>23</v>
      </c>
      <c r="O91" s="1">
        <f t="shared" si="21"/>
        <v>0.29029940119760478</v>
      </c>
      <c r="P91" s="1">
        <f t="shared" si="22"/>
        <v>0.29044350490405846</v>
      </c>
    </row>
    <row r="92" spans="1:16" ht="13" x14ac:dyDescent="0.15">
      <c r="A92" s="1">
        <v>5</v>
      </c>
      <c r="B92" s="1">
        <v>1807</v>
      </c>
      <c r="C92" s="1">
        <v>1234</v>
      </c>
      <c r="D92" s="1">
        <v>4277</v>
      </c>
      <c r="E92" s="1">
        <f t="shared" si="19"/>
        <v>0.42249240121580545</v>
      </c>
      <c r="F92" s="1">
        <f t="shared" si="20"/>
        <v>0.43302921894524227</v>
      </c>
      <c r="G92" s="1">
        <v>24</v>
      </c>
      <c r="O92" s="1">
        <f t="shared" si="21"/>
        <v>0.28851999064765022</v>
      </c>
      <c r="P92" s="1">
        <f t="shared" si="22"/>
        <v>0.2957155817257493</v>
      </c>
    </row>
    <row r="93" spans="1:16" ht="13" x14ac:dyDescent="0.15">
      <c r="A93" s="1">
        <v>6</v>
      </c>
      <c r="B93" s="1">
        <v>1867</v>
      </c>
      <c r="C93" s="1">
        <v>1286</v>
      </c>
      <c r="D93" s="1">
        <v>4265</v>
      </c>
      <c r="E93" s="1">
        <f t="shared" si="19"/>
        <v>0.4377491207502931</v>
      </c>
      <c r="F93" s="1">
        <f t="shared" si="20"/>
        <v>0.44740761027712639</v>
      </c>
      <c r="G93" s="1">
        <v>25</v>
      </c>
      <c r="O93" s="1">
        <f t="shared" si="21"/>
        <v>0.30152403282532242</v>
      </c>
      <c r="P93" s="1">
        <f t="shared" si="22"/>
        <v>0.30817685421338215</v>
      </c>
    </row>
    <row r="94" spans="1:16" ht="13" x14ac:dyDescent="0.15">
      <c r="A94" s="1">
        <v>7</v>
      </c>
      <c r="B94" s="1">
        <v>1873</v>
      </c>
      <c r="C94" s="1">
        <v>1262</v>
      </c>
      <c r="D94" s="1">
        <v>4337</v>
      </c>
      <c r="E94" s="1">
        <f t="shared" si="19"/>
        <v>0.43186534470832372</v>
      </c>
      <c r="F94" s="1">
        <f t="shared" si="20"/>
        <v>0.44884544941031479</v>
      </c>
      <c r="G94" s="1">
        <v>26</v>
      </c>
      <c r="O94" s="1">
        <f t="shared" si="21"/>
        <v>0.29098455153331798</v>
      </c>
      <c r="P94" s="1">
        <f t="shared" si="22"/>
        <v>0.30242549768062854</v>
      </c>
    </row>
    <row r="95" spans="1:16" ht="13" x14ac:dyDescent="0.15">
      <c r="A95" s="1">
        <v>8</v>
      </c>
      <c r="B95" s="1">
        <v>1959</v>
      </c>
      <c r="C95" s="1">
        <v>1300</v>
      </c>
      <c r="D95" s="1">
        <v>4267</v>
      </c>
      <c r="E95" s="1">
        <f t="shared" si="19"/>
        <v>0.45910475744082496</v>
      </c>
      <c r="F95" s="1">
        <f t="shared" si="20"/>
        <v>0.46945447698601528</v>
      </c>
      <c r="G95" s="1">
        <v>27</v>
      </c>
      <c r="O95" s="1">
        <f t="shared" si="21"/>
        <v>0.30466369814858213</v>
      </c>
      <c r="P95" s="1">
        <f t="shared" si="22"/>
        <v>0.31153181219082177</v>
      </c>
    </row>
    <row r="96" spans="1:16" ht="13" x14ac:dyDescent="0.15">
      <c r="A96" s="1">
        <v>9</v>
      </c>
      <c r="B96" s="1">
        <v>1992</v>
      </c>
      <c r="C96" s="1">
        <v>1323</v>
      </c>
      <c r="D96" s="1">
        <v>4097</v>
      </c>
      <c r="E96" s="1">
        <f t="shared" si="19"/>
        <v>0.48620942152794727</v>
      </c>
      <c r="F96" s="1">
        <f t="shared" si="20"/>
        <v>0.47736259221855154</v>
      </c>
      <c r="G96" s="1">
        <v>28</v>
      </c>
      <c r="O96" s="1">
        <f t="shared" si="21"/>
        <v>0.32291920917744693</v>
      </c>
      <c r="P96" s="1">
        <f t="shared" si="22"/>
        <v>0.31704352886804399</v>
      </c>
    </row>
    <row r="97" spans="1:16" ht="13" x14ac:dyDescent="0.15">
      <c r="A97" s="1">
        <v>10</v>
      </c>
      <c r="B97" s="1">
        <v>2037</v>
      </c>
      <c r="C97" s="1">
        <v>1339</v>
      </c>
      <c r="D97" s="1">
        <v>4275</v>
      </c>
      <c r="E97" s="1">
        <f t="shared" si="19"/>
        <v>0.47649122807017547</v>
      </c>
      <c r="F97" s="1">
        <f t="shared" si="20"/>
        <v>0.4881463857174646</v>
      </c>
      <c r="G97" s="1">
        <v>29</v>
      </c>
      <c r="O97" s="1">
        <f t="shared" si="21"/>
        <v>0.31321637426900584</v>
      </c>
      <c r="P97" s="1">
        <f t="shared" si="22"/>
        <v>0.32087776655654643</v>
      </c>
    </row>
    <row r="98" spans="1:16" ht="13" x14ac:dyDescent="0.15">
      <c r="A98" s="1">
        <v>11</v>
      </c>
      <c r="C98" s="1">
        <v>1418</v>
      </c>
      <c r="G98" s="1">
        <v>30</v>
      </c>
    </row>
    <row r="99" spans="1:16" ht="13" x14ac:dyDescent="0.15">
      <c r="A99" s="1">
        <v>12</v>
      </c>
      <c r="G99" s="1">
        <v>31</v>
      </c>
    </row>
    <row r="100" spans="1:16" ht="13" x14ac:dyDescent="0.15">
      <c r="A100" s="1" t="s">
        <v>13</v>
      </c>
    </row>
    <row r="101" spans="1:16" ht="13" x14ac:dyDescent="0.15">
      <c r="A101" s="1">
        <v>1</v>
      </c>
      <c r="B101" s="1">
        <v>2168</v>
      </c>
      <c r="C101" s="1">
        <v>1390</v>
      </c>
      <c r="D101" s="1">
        <v>4284</v>
      </c>
      <c r="E101" s="1">
        <f t="shared" ref="E101:E110" si="23">B:B/D:D</f>
        <v>0.5060690943043884</v>
      </c>
      <c r="F101" s="1">
        <f t="shared" ref="F101:F110" si="24">B:B/$D$113</f>
        <v>0.51953920679207821</v>
      </c>
      <c r="G101" s="1">
        <v>32</v>
      </c>
      <c r="O101" s="1">
        <f t="shared" ref="O101:O110" si="25">C:C/D:D</f>
        <v>0.32446311858076565</v>
      </c>
      <c r="P101" s="1">
        <f t="shared" ref="P101:P110" si="26">C:C/$D$113</f>
        <v>0.33309939918864789</v>
      </c>
    </row>
    <row r="102" spans="1:16" ht="13" x14ac:dyDescent="0.15">
      <c r="A102" s="1">
        <v>2</v>
      </c>
      <c r="B102" s="1">
        <v>2199</v>
      </c>
      <c r="C102" s="1">
        <v>1367</v>
      </c>
      <c r="D102" s="1">
        <v>4319</v>
      </c>
      <c r="E102" s="1">
        <f t="shared" si="23"/>
        <v>0.50914563556378789</v>
      </c>
      <c r="F102" s="1">
        <f t="shared" si="24"/>
        <v>0.52696804231355165</v>
      </c>
      <c r="G102" s="1">
        <v>33</v>
      </c>
      <c r="O102" s="1">
        <f t="shared" si="25"/>
        <v>0.31650845103033109</v>
      </c>
      <c r="P102" s="1">
        <f t="shared" si="26"/>
        <v>0.32758768251142567</v>
      </c>
    </row>
    <row r="103" spans="1:16" ht="13" x14ac:dyDescent="0.15">
      <c r="A103" s="1">
        <v>3</v>
      </c>
      <c r="B103" s="1">
        <v>2279</v>
      </c>
      <c r="C103" s="1">
        <v>1421</v>
      </c>
      <c r="D103" s="1">
        <v>4388</v>
      </c>
      <c r="E103" s="1">
        <f t="shared" si="23"/>
        <v>0.51937101185050139</v>
      </c>
      <c r="F103" s="1">
        <f t="shared" si="24"/>
        <v>0.54613923075606374</v>
      </c>
      <c r="G103" s="1">
        <v>34</v>
      </c>
      <c r="O103" s="1">
        <f t="shared" si="25"/>
        <v>0.32383773928896992</v>
      </c>
      <c r="P103" s="1">
        <f t="shared" si="26"/>
        <v>0.34052823471012134</v>
      </c>
    </row>
    <row r="104" spans="1:16" ht="13" x14ac:dyDescent="0.15">
      <c r="A104" s="1">
        <v>4</v>
      </c>
      <c r="B104" s="1">
        <v>2323</v>
      </c>
      <c r="C104" s="1">
        <v>1391</v>
      </c>
      <c r="D104" s="1">
        <v>4346</v>
      </c>
      <c r="E104" s="1">
        <f t="shared" si="23"/>
        <v>0.53451449608835711</v>
      </c>
      <c r="F104" s="1">
        <f t="shared" si="24"/>
        <v>0.55668338439944542</v>
      </c>
      <c r="G104" s="1">
        <v>35</v>
      </c>
      <c r="O104" s="1">
        <f t="shared" si="25"/>
        <v>0.32006442705936494</v>
      </c>
      <c r="P104" s="1">
        <f t="shared" si="26"/>
        <v>0.33333903904417933</v>
      </c>
    </row>
    <row r="105" spans="1:16" ht="13" x14ac:dyDescent="0.15">
      <c r="A105" s="1">
        <v>5</v>
      </c>
      <c r="B105" s="1">
        <v>2325</v>
      </c>
      <c r="C105" s="1">
        <v>1400</v>
      </c>
      <c r="D105" s="1">
        <v>4352</v>
      </c>
      <c r="E105" s="1">
        <f t="shared" si="23"/>
        <v>0.53423713235294112</v>
      </c>
      <c r="F105" s="1">
        <f t="shared" si="24"/>
        <v>0.55716266411050819</v>
      </c>
      <c r="G105" s="1">
        <v>36</v>
      </c>
      <c r="O105" s="1">
        <f t="shared" si="25"/>
        <v>0.32169117647058826</v>
      </c>
      <c r="P105" s="1">
        <f t="shared" si="26"/>
        <v>0.33549579774396193</v>
      </c>
    </row>
    <row r="106" spans="1:16" ht="13" x14ac:dyDescent="0.15">
      <c r="A106" s="1">
        <v>6</v>
      </c>
      <c r="B106" s="1">
        <v>2318</v>
      </c>
      <c r="C106" s="1">
        <v>1388</v>
      </c>
      <c r="D106" s="1">
        <v>4377</v>
      </c>
      <c r="E106" s="1">
        <f t="shared" si="23"/>
        <v>0.52958647475439802</v>
      </c>
      <c r="F106" s="1">
        <f t="shared" si="24"/>
        <v>0.55548518512178835</v>
      </c>
      <c r="G106" s="1">
        <v>37</v>
      </c>
      <c r="O106" s="1">
        <f t="shared" si="25"/>
        <v>0.31711217729038155</v>
      </c>
      <c r="P106" s="1">
        <f t="shared" si="26"/>
        <v>0.33262011947758513</v>
      </c>
    </row>
    <row r="107" spans="1:16" ht="13" x14ac:dyDescent="0.15">
      <c r="A107" s="1">
        <v>7</v>
      </c>
      <c r="B107" s="1">
        <v>2418</v>
      </c>
      <c r="C107" s="1">
        <v>1403</v>
      </c>
      <c r="D107" s="1">
        <v>4367</v>
      </c>
      <c r="E107" s="1">
        <f t="shared" si="23"/>
        <v>0.55369819097778794</v>
      </c>
      <c r="F107" s="1">
        <f t="shared" si="24"/>
        <v>0.57944917067492852</v>
      </c>
      <c r="G107" s="1">
        <v>38</v>
      </c>
      <c r="O107" s="1">
        <f t="shared" si="25"/>
        <v>0.32127318525303411</v>
      </c>
      <c r="P107" s="1">
        <f t="shared" si="26"/>
        <v>0.33621471731055613</v>
      </c>
    </row>
    <row r="108" spans="1:16" ht="13" x14ac:dyDescent="0.15">
      <c r="A108" s="2">
        <v>8</v>
      </c>
      <c r="B108" s="1">
        <v>2420</v>
      </c>
      <c r="C108" s="1">
        <v>1376</v>
      </c>
      <c r="D108" s="1">
        <v>4277</v>
      </c>
      <c r="E108" s="1">
        <f t="shared" si="23"/>
        <v>0.56581716156184236</v>
      </c>
      <c r="F108" s="1">
        <f t="shared" si="24"/>
        <v>0.57992845038599128</v>
      </c>
      <c r="G108" s="1">
        <v>39</v>
      </c>
      <c r="O108" s="1">
        <f t="shared" si="25"/>
        <v>0.32172083235913024</v>
      </c>
      <c r="P108" s="1">
        <f t="shared" si="26"/>
        <v>0.32974444121120827</v>
      </c>
    </row>
    <row r="109" spans="1:16" ht="13" x14ac:dyDescent="0.15">
      <c r="A109" s="1">
        <v>9</v>
      </c>
      <c r="B109" s="1">
        <v>2498</v>
      </c>
      <c r="C109" s="1">
        <v>1370</v>
      </c>
      <c r="D109" s="1">
        <v>4357</v>
      </c>
      <c r="E109" s="1">
        <f t="shared" si="23"/>
        <v>0.57333027312370899</v>
      </c>
      <c r="F109" s="1">
        <f t="shared" si="24"/>
        <v>0.5986203591174406</v>
      </c>
      <c r="G109" s="1">
        <v>40</v>
      </c>
      <c r="O109" s="1">
        <f t="shared" si="25"/>
        <v>0.31443653890291484</v>
      </c>
      <c r="P109" s="1">
        <f t="shared" si="26"/>
        <v>0.32830660207801987</v>
      </c>
    </row>
    <row r="110" spans="1:16" ht="13" x14ac:dyDescent="0.15">
      <c r="A110" s="1">
        <v>10</v>
      </c>
      <c r="B110" s="1">
        <v>2557</v>
      </c>
      <c r="C110" s="1">
        <v>1343</v>
      </c>
      <c r="D110" s="1">
        <v>4307</v>
      </c>
      <c r="E110" s="1">
        <f t="shared" si="23"/>
        <v>0.59368469932667756</v>
      </c>
      <c r="F110" s="1">
        <f t="shared" si="24"/>
        <v>0.61275911059379329</v>
      </c>
      <c r="G110" s="1">
        <v>41</v>
      </c>
      <c r="O110" s="1">
        <f t="shared" si="25"/>
        <v>0.31181797074529838</v>
      </c>
      <c r="P110" s="1">
        <f t="shared" si="26"/>
        <v>0.32183632597867207</v>
      </c>
    </row>
    <row r="111" spans="1:16" ht="13" x14ac:dyDescent="0.15">
      <c r="A111" s="1">
        <v>11</v>
      </c>
      <c r="G111" s="1">
        <v>42</v>
      </c>
    </row>
    <row r="112" spans="1:16" ht="13" x14ac:dyDescent="0.15">
      <c r="A112" s="1">
        <v>12</v>
      </c>
      <c r="G112" s="1">
        <v>43</v>
      </c>
    </row>
    <row r="113" spans="4:4" ht="13" x14ac:dyDescent="0.15">
      <c r="D113" s="1">
        <f>AVERAGE(D60:D110)</f>
        <v>4172.9285714285716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B1C88-5279-BD42-AA12-578184FD051E}">
  <dimension ref="A1:AF57"/>
  <sheetViews>
    <sheetView topLeftCell="H1" workbookViewId="0">
      <selection activeCell="A14" sqref="A14"/>
    </sheetView>
  </sheetViews>
  <sheetFormatPr baseColWidth="10" defaultRowHeight="13" x14ac:dyDescent="0.15"/>
  <sheetData>
    <row r="1" spans="1:32" x14ac:dyDescent="0.15">
      <c r="A1" s="4" t="s">
        <v>14</v>
      </c>
      <c r="H1" s="4" t="s">
        <v>17</v>
      </c>
      <c r="I1" s="4" t="s">
        <v>19</v>
      </c>
      <c r="N1" s="4" t="s">
        <v>15</v>
      </c>
      <c r="R1" s="4" t="s">
        <v>18</v>
      </c>
      <c r="S1" s="4" t="s">
        <v>16</v>
      </c>
      <c r="U1" s="4" t="s">
        <v>17</v>
      </c>
      <c r="V1" s="4" t="s">
        <v>19</v>
      </c>
      <c r="X1" s="4" t="s">
        <v>24</v>
      </c>
    </row>
    <row r="2" spans="1:32" x14ac:dyDescent="0.15">
      <c r="B2" s="4" t="s">
        <v>20</v>
      </c>
      <c r="C2" s="4" t="s">
        <v>21</v>
      </c>
      <c r="D2" s="4" t="s">
        <v>22</v>
      </c>
      <c r="E2" s="4" t="s">
        <v>18</v>
      </c>
      <c r="F2" s="4" t="s">
        <v>16</v>
      </c>
      <c r="O2" s="4" t="s">
        <v>20</v>
      </c>
      <c r="P2" s="4" t="s">
        <v>21</v>
      </c>
      <c r="Q2" s="4" t="s">
        <v>23</v>
      </c>
      <c r="Y2" s="4" t="s">
        <v>20</v>
      </c>
      <c r="Z2" s="4" t="s">
        <v>21</v>
      </c>
      <c r="AA2" s="4" t="s">
        <v>22</v>
      </c>
      <c r="AB2" s="4" t="s">
        <v>18</v>
      </c>
      <c r="AC2" s="4" t="s">
        <v>16</v>
      </c>
      <c r="AD2" s="4" t="s">
        <v>6</v>
      </c>
      <c r="AE2" s="4" t="s">
        <v>17</v>
      </c>
      <c r="AF2" s="4" t="s">
        <v>19</v>
      </c>
    </row>
    <row r="3" spans="1:32" x14ac:dyDescent="0.15">
      <c r="A3" s="4"/>
      <c r="B3" s="1">
        <v>455</v>
      </c>
      <c r="C3" s="1">
        <v>307</v>
      </c>
      <c r="D3" s="1">
        <v>4000</v>
      </c>
      <c r="E3" s="1">
        <f t="shared" ref="E3:E34" si="0">B:B/D:D</f>
        <v>0.11375</v>
      </c>
      <c r="F3" s="1">
        <f>B:B/$D$36</f>
        <v>0.10820371430057743</v>
      </c>
      <c r="G3" s="1">
        <v>3</v>
      </c>
      <c r="H3" cm="1">
        <f t="array" ref="H3:H34">C3:C34/D3:D34</f>
        <v>7.6749999999999999E-2</v>
      </c>
      <c r="I3" cm="1">
        <f t="array" ref="I3:I34">C3:C34/D36</f>
        <v>7.3007780857752252E-2</v>
      </c>
      <c r="O3" s="1">
        <v>165</v>
      </c>
      <c r="P3" s="1">
        <v>159</v>
      </c>
      <c r="Q3" s="1">
        <v>4113</v>
      </c>
      <c r="R3" s="1" cm="1">
        <f t="array" ref="R3:R36">O3:O36/Q3:Q36</f>
        <v>4.0116703136396793E-2</v>
      </c>
      <c r="S3" s="1" cm="1">
        <f t="array" ref="S3:S36">O3:O36/Q38</f>
        <v>3.9156836741816151E-2</v>
      </c>
      <c r="T3" s="1">
        <v>2</v>
      </c>
      <c r="U3" cm="1">
        <f t="array" ref="U3:U36">P3:P36/Q3:Q36</f>
        <v>3.8657913931436909E-2</v>
      </c>
      <c r="V3" cm="1">
        <f t="array" ref="V3:V36">P3:P36/Q38</f>
        <v>3.7732951769386472E-2</v>
      </c>
      <c r="Y3">
        <v>290</v>
      </c>
      <c r="Z3">
        <v>250</v>
      </c>
      <c r="AA3">
        <v>4105</v>
      </c>
      <c r="AB3">
        <f>Y3/AA3</f>
        <v>7.0645554202192443E-2</v>
      </c>
      <c r="AC3">
        <f>Y3/$AA$36</f>
        <v>6.6877580876471054E-2</v>
      </c>
      <c r="AD3">
        <v>3</v>
      </c>
      <c r="AE3">
        <f>Z3/AA3</f>
        <v>6.090133982947625E-2</v>
      </c>
      <c r="AF3">
        <f>Z3/$AA$36</f>
        <v>5.765308696247505E-2</v>
      </c>
    </row>
    <row r="4" spans="1:32" x14ac:dyDescent="0.15">
      <c r="A4" s="4"/>
      <c r="B4" s="1">
        <v>546</v>
      </c>
      <c r="C4" s="1">
        <v>398</v>
      </c>
      <c r="D4" s="1">
        <v>3965</v>
      </c>
      <c r="E4" s="1">
        <f t="shared" si="0"/>
        <v>0.13770491803278689</v>
      </c>
      <c r="F4" s="1">
        <f t="shared" ref="F4:F34" si="1">B:B/$D$36</f>
        <v>0.12984445716069293</v>
      </c>
      <c r="G4" s="1">
        <v>4</v>
      </c>
      <c r="H4">
        <v>0.10037831021437579</v>
      </c>
      <c r="I4">
        <v>9.4648523717867736E-2</v>
      </c>
      <c r="O4" s="1">
        <v>335</v>
      </c>
      <c r="P4" s="1">
        <v>261</v>
      </c>
      <c r="Q4" s="1">
        <v>4084</v>
      </c>
      <c r="R4" s="1">
        <v>8.202742409402547E-2</v>
      </c>
      <c r="S4" s="1">
        <v>7.9500244293990371E-2</v>
      </c>
      <c r="T4" s="1">
        <v>3</v>
      </c>
      <c r="U4">
        <v>6.3907933398628797E-2</v>
      </c>
      <c r="V4">
        <v>6.1938996300691003E-2</v>
      </c>
      <c r="Y4">
        <v>391</v>
      </c>
      <c r="Z4">
        <v>370</v>
      </c>
      <c r="AA4">
        <v>3973</v>
      </c>
      <c r="AB4">
        <f t="shared" ref="AB4:AB34" si="2">Y4/AA4</f>
        <v>9.8414296501384349E-2</v>
      </c>
      <c r="AC4">
        <f t="shared" ref="AC4:AC34" si="3">Y4/$AA$36</f>
        <v>9.0169428009310978E-2</v>
      </c>
      <c r="AD4">
        <v>4</v>
      </c>
      <c r="AE4">
        <f t="shared" ref="AE4:AE34" si="4">Z4/AA4</f>
        <v>9.3128618172665489E-2</v>
      </c>
      <c r="AF4">
        <f t="shared" ref="AF4:AF34" si="5">Z4/$AA$36</f>
        <v>8.5326568704463063E-2</v>
      </c>
    </row>
    <row r="5" spans="1:32" x14ac:dyDescent="0.15">
      <c r="A5" s="4"/>
      <c r="B5" s="1">
        <v>690</v>
      </c>
      <c r="C5" s="1">
        <v>452</v>
      </c>
      <c r="D5" s="1">
        <v>3905</v>
      </c>
      <c r="E5" s="1">
        <f t="shared" si="0"/>
        <v>0.17669654289372599</v>
      </c>
      <c r="F5" s="1">
        <f t="shared" si="1"/>
        <v>0.16408914915911743</v>
      </c>
      <c r="G5" s="1">
        <v>5</v>
      </c>
      <c r="H5">
        <v>0.11574903969270166</v>
      </c>
      <c r="I5">
        <v>0.10749028321727692</v>
      </c>
      <c r="O5" s="1">
        <v>524</v>
      </c>
      <c r="P5" s="1">
        <v>344</v>
      </c>
      <c r="Q5" s="1">
        <v>3972</v>
      </c>
      <c r="R5" s="1">
        <v>0.13192346424974824</v>
      </c>
      <c r="S5" s="1">
        <v>0.12435262092552522</v>
      </c>
      <c r="T5" s="1">
        <v>4</v>
      </c>
      <c r="U5">
        <v>8.6606243705941596E-2</v>
      </c>
      <c r="V5">
        <v>8.1636071752634876E-2</v>
      </c>
      <c r="Y5">
        <v>458</v>
      </c>
      <c r="Z5">
        <v>401</v>
      </c>
      <c r="AA5">
        <v>3912</v>
      </c>
      <c r="AB5">
        <f t="shared" si="2"/>
        <v>0.11707566462167689</v>
      </c>
      <c r="AC5">
        <f t="shared" si="3"/>
        <v>0.10562045531525428</v>
      </c>
      <c r="AD5">
        <v>5</v>
      </c>
      <c r="AE5">
        <f t="shared" si="4"/>
        <v>0.10250511247443762</v>
      </c>
      <c r="AF5">
        <f t="shared" si="5"/>
        <v>9.2475551487809976E-2</v>
      </c>
    </row>
    <row r="6" spans="1:32" x14ac:dyDescent="0.15">
      <c r="A6" s="4"/>
      <c r="B6" s="1">
        <v>744</v>
      </c>
      <c r="C6" s="1">
        <v>555</v>
      </c>
      <c r="D6" s="3">
        <v>3271</v>
      </c>
      <c r="E6" s="1">
        <f t="shared" si="0"/>
        <v>0.22745337817181291</v>
      </c>
      <c r="F6" s="1">
        <f t="shared" si="1"/>
        <v>0.17693090865852662</v>
      </c>
      <c r="G6" s="1">
        <v>6</v>
      </c>
      <c r="H6">
        <v>0.16967288291042495</v>
      </c>
      <c r="I6">
        <v>0.13198475041059446</v>
      </c>
      <c r="O6" s="1">
        <v>595</v>
      </c>
      <c r="P6" s="1">
        <v>372</v>
      </c>
      <c r="Q6" s="1">
        <v>3992</v>
      </c>
      <c r="R6" s="1">
        <v>0.14904809619238477</v>
      </c>
      <c r="S6" s="1">
        <v>0.14120192643260976</v>
      </c>
      <c r="T6" s="1">
        <v>5</v>
      </c>
      <c r="U6">
        <v>9.3186372745490978E-2</v>
      </c>
      <c r="V6">
        <v>8.8280868290640052E-2</v>
      </c>
      <c r="Y6">
        <v>501</v>
      </c>
      <c r="Z6">
        <v>526</v>
      </c>
      <c r="AA6" s="5">
        <v>3666</v>
      </c>
      <c r="AB6">
        <f t="shared" si="2"/>
        <v>0.13666121112929625</v>
      </c>
      <c r="AC6">
        <f t="shared" si="3"/>
        <v>0.11553678627279999</v>
      </c>
      <c r="AD6">
        <v>6</v>
      </c>
      <c r="AE6">
        <f t="shared" si="4"/>
        <v>0.14348063284233498</v>
      </c>
      <c r="AF6">
        <f t="shared" si="5"/>
        <v>0.12130209496904749</v>
      </c>
    </row>
    <row r="7" spans="1:32" x14ac:dyDescent="0.15">
      <c r="A7" s="4"/>
      <c r="B7" s="1">
        <v>1016</v>
      </c>
      <c r="C7" s="1">
        <v>711</v>
      </c>
      <c r="D7" s="1">
        <v>3978</v>
      </c>
      <c r="E7" s="1">
        <f t="shared" si="0"/>
        <v>0.25540472599296127</v>
      </c>
      <c r="F7" s="1">
        <f t="shared" si="1"/>
        <v>0.2416153268777729</v>
      </c>
      <c r="G7" s="1">
        <v>7</v>
      </c>
      <c r="H7">
        <v>0.17873303167420815</v>
      </c>
      <c r="I7">
        <v>0.16908316674222101</v>
      </c>
      <c r="O7" s="1">
        <v>920</v>
      </c>
      <c r="P7" s="1">
        <v>635</v>
      </c>
      <c r="Q7" s="1">
        <v>4072</v>
      </c>
      <c r="R7" s="1">
        <v>0.22593320235756384</v>
      </c>
      <c r="S7" s="1">
        <v>0.21832902910588398</v>
      </c>
      <c r="T7" s="1">
        <v>8</v>
      </c>
      <c r="U7">
        <v>0.15594302554027506</v>
      </c>
      <c r="V7">
        <v>0.15069449291547427</v>
      </c>
      <c r="Y7">
        <v>771</v>
      </c>
      <c r="Z7">
        <v>595</v>
      </c>
      <c r="AA7">
        <v>4127</v>
      </c>
      <c r="AB7">
        <f t="shared" si="2"/>
        <v>0.1868185122364914</v>
      </c>
      <c r="AC7">
        <f t="shared" si="3"/>
        <v>0.17780212019227304</v>
      </c>
      <c r="AD7">
        <v>7</v>
      </c>
      <c r="AE7">
        <f t="shared" si="4"/>
        <v>0.14417252241337533</v>
      </c>
      <c r="AF7">
        <f t="shared" si="5"/>
        <v>0.1372143469706906</v>
      </c>
    </row>
    <row r="8" spans="1:32" x14ac:dyDescent="0.15">
      <c r="A8" s="4"/>
      <c r="B8" s="1">
        <v>1062</v>
      </c>
      <c r="C8" s="1">
        <v>788</v>
      </c>
      <c r="D8" s="1">
        <v>3993</v>
      </c>
      <c r="E8" s="1">
        <f t="shared" si="0"/>
        <v>0.26596543951915852</v>
      </c>
      <c r="F8" s="1">
        <f t="shared" si="1"/>
        <v>0.25255460348838071</v>
      </c>
      <c r="G8" s="1">
        <v>8</v>
      </c>
      <c r="H8">
        <v>0.19734535437014775</v>
      </c>
      <c r="I8">
        <v>0.18739456454693409</v>
      </c>
      <c r="O8" s="1">
        <v>984</v>
      </c>
      <c r="P8" s="1">
        <v>613</v>
      </c>
      <c r="Q8" s="1">
        <v>4190</v>
      </c>
      <c r="R8" s="1">
        <v>0.23484486873508353</v>
      </c>
      <c r="S8" s="1">
        <v>0.23351713547846722</v>
      </c>
      <c r="T8" s="1">
        <v>9</v>
      </c>
      <c r="U8">
        <v>0.14630071599045347</v>
      </c>
      <c r="V8">
        <v>0.1454735813498988</v>
      </c>
      <c r="Y8">
        <v>956</v>
      </c>
      <c r="Z8">
        <v>751</v>
      </c>
      <c r="AA8" s="5">
        <v>3611</v>
      </c>
      <c r="AB8">
        <f t="shared" si="2"/>
        <v>0.26474660758792579</v>
      </c>
      <c r="AC8">
        <f t="shared" si="3"/>
        <v>0.22046540454450458</v>
      </c>
      <c r="AD8">
        <v>10</v>
      </c>
      <c r="AE8">
        <f t="shared" si="4"/>
        <v>0.20797563001938521</v>
      </c>
      <c r="AF8">
        <f t="shared" si="5"/>
        <v>0.17318987323527504</v>
      </c>
    </row>
    <row r="9" spans="1:32" x14ac:dyDescent="0.15">
      <c r="A9" s="4"/>
      <c r="B9" s="1">
        <v>1104</v>
      </c>
      <c r="C9" s="1">
        <v>806</v>
      </c>
      <c r="D9" s="1">
        <v>3967</v>
      </c>
      <c r="E9" s="1">
        <f t="shared" si="0"/>
        <v>0.27829594151751952</v>
      </c>
      <c r="F9" s="1">
        <f t="shared" si="1"/>
        <v>0.26254263865458788</v>
      </c>
      <c r="G9" s="1">
        <v>9</v>
      </c>
      <c r="H9">
        <v>0.20317620368036299</v>
      </c>
      <c r="I9">
        <v>0.19167515104673716</v>
      </c>
      <c r="O9" s="1">
        <v>1021</v>
      </c>
      <c r="P9" s="1">
        <v>738</v>
      </c>
      <c r="Q9" s="1">
        <v>3980</v>
      </c>
      <c r="R9" s="1">
        <v>0.25653266331658292</v>
      </c>
      <c r="S9" s="1">
        <v>0.24229775947511689</v>
      </c>
      <c r="T9" s="1">
        <v>10</v>
      </c>
      <c r="U9">
        <v>0.18542713567839195</v>
      </c>
      <c r="V9">
        <v>0.17513785160885043</v>
      </c>
      <c r="Y9">
        <v>1005</v>
      </c>
      <c r="Z9">
        <v>815</v>
      </c>
      <c r="AA9">
        <v>4192</v>
      </c>
      <c r="AB9">
        <f t="shared" si="2"/>
        <v>0.23974236641221375</v>
      </c>
      <c r="AC9">
        <f t="shared" si="3"/>
        <v>0.23176540958914968</v>
      </c>
      <c r="AD9">
        <v>11</v>
      </c>
      <c r="AE9">
        <f t="shared" si="4"/>
        <v>0.19441793893129772</v>
      </c>
      <c r="AF9">
        <f t="shared" si="5"/>
        <v>0.18794906349766866</v>
      </c>
    </row>
    <row r="10" spans="1:32" x14ac:dyDescent="0.15">
      <c r="A10" s="4"/>
      <c r="B10" s="1">
        <v>1208</v>
      </c>
      <c r="C10" s="1">
        <v>872</v>
      </c>
      <c r="D10" s="1">
        <v>4183</v>
      </c>
      <c r="E10" s="1">
        <f t="shared" si="0"/>
        <v>0.28878795123117379</v>
      </c>
      <c r="F10" s="1">
        <f t="shared" si="1"/>
        <v>0.28727491620900558</v>
      </c>
      <c r="G10" s="1">
        <v>10</v>
      </c>
      <c r="H10">
        <v>0.20846282572316518</v>
      </c>
      <c r="I10">
        <v>0.2073706348793484</v>
      </c>
      <c r="O10" s="1">
        <v>1080</v>
      </c>
      <c r="P10" s="1">
        <v>741</v>
      </c>
      <c r="Q10" s="1">
        <v>3998</v>
      </c>
      <c r="R10" s="1">
        <v>0.27013506753376687</v>
      </c>
      <c r="S10" s="1">
        <v>0.25629929503734206</v>
      </c>
      <c r="T10" s="1">
        <v>11</v>
      </c>
      <c r="U10">
        <v>0.18534267133566784</v>
      </c>
      <c r="V10">
        <v>0.17584979409506526</v>
      </c>
      <c r="Y10">
        <v>1140</v>
      </c>
      <c r="Z10">
        <v>897</v>
      </c>
      <c r="AA10">
        <v>4154</v>
      </c>
      <c r="AB10">
        <f t="shared" si="2"/>
        <v>0.27443428021184402</v>
      </c>
      <c r="AC10">
        <f t="shared" si="3"/>
        <v>0.26289807654888619</v>
      </c>
      <c r="AD10">
        <v>12</v>
      </c>
      <c r="AE10">
        <f t="shared" si="4"/>
        <v>0.21593644679826673</v>
      </c>
      <c r="AF10">
        <f t="shared" si="5"/>
        <v>0.20685927602136048</v>
      </c>
    </row>
    <row r="11" spans="1:32" x14ac:dyDescent="0.15">
      <c r="A11" s="4"/>
      <c r="B11" s="1">
        <v>1282</v>
      </c>
      <c r="C11" s="1">
        <v>878</v>
      </c>
      <c r="D11" s="1">
        <v>4174</v>
      </c>
      <c r="E11" s="1">
        <f t="shared" si="0"/>
        <v>0.30713943459511261</v>
      </c>
      <c r="F11" s="1">
        <f t="shared" si="1"/>
        <v>0.3048728829304182</v>
      </c>
      <c r="G11" s="1">
        <v>11</v>
      </c>
      <c r="H11">
        <v>0.21034978437949209</v>
      </c>
      <c r="I11">
        <v>0.20879749704594941</v>
      </c>
      <c r="O11" s="1">
        <v>1142</v>
      </c>
      <c r="P11" s="1">
        <v>781</v>
      </c>
      <c r="Q11" s="1">
        <v>3937</v>
      </c>
      <c r="R11" s="1">
        <v>0.29006858013716025</v>
      </c>
      <c r="S11" s="1">
        <v>0.27101277308578209</v>
      </c>
      <c r="T11" s="1">
        <v>12</v>
      </c>
      <c r="U11">
        <v>0.19837439674879351</v>
      </c>
      <c r="V11">
        <v>0.18534236057792977</v>
      </c>
      <c r="Y11">
        <v>1143</v>
      </c>
      <c r="Z11">
        <v>907</v>
      </c>
      <c r="AA11">
        <v>4373</v>
      </c>
      <c r="AB11">
        <f t="shared" si="2"/>
        <v>0.26137662931625888</v>
      </c>
      <c r="AC11">
        <f t="shared" si="3"/>
        <v>0.26358991359243594</v>
      </c>
      <c r="AD11">
        <v>13</v>
      </c>
      <c r="AE11">
        <f t="shared" si="4"/>
        <v>0.207409101303453</v>
      </c>
      <c r="AF11">
        <f t="shared" si="5"/>
        <v>0.20916539949985946</v>
      </c>
    </row>
    <row r="12" spans="1:32" x14ac:dyDescent="0.15">
      <c r="A12" s="4"/>
      <c r="B12" s="1">
        <v>1304</v>
      </c>
      <c r="C12" s="1">
        <v>957</v>
      </c>
      <c r="D12" s="1">
        <v>4233</v>
      </c>
      <c r="E12" s="1">
        <f t="shared" si="0"/>
        <v>0.3080557524214505</v>
      </c>
      <c r="F12" s="1">
        <f t="shared" si="1"/>
        <v>0.31010471087462194</v>
      </c>
      <c r="G12" s="1">
        <v>12</v>
      </c>
      <c r="H12">
        <v>0.22608079376328843</v>
      </c>
      <c r="I12">
        <v>0.22758451557286286</v>
      </c>
      <c r="O12" s="1">
        <v>1238</v>
      </c>
      <c r="P12" s="1">
        <v>858</v>
      </c>
      <c r="Q12" s="1">
        <v>4143</v>
      </c>
      <c r="R12" s="1">
        <v>0.29881728216268405</v>
      </c>
      <c r="S12" s="1">
        <v>0.29379493264465695</v>
      </c>
      <c r="T12" s="1">
        <v>13</v>
      </c>
      <c r="U12">
        <v>0.20709630702389573</v>
      </c>
      <c r="V12">
        <v>0.20361555105744397</v>
      </c>
      <c r="Y12">
        <v>1258</v>
      </c>
      <c r="Z12">
        <v>961</v>
      </c>
      <c r="AA12">
        <v>4282</v>
      </c>
      <c r="AB12">
        <f t="shared" si="2"/>
        <v>0.29378794955628212</v>
      </c>
      <c r="AC12">
        <f t="shared" si="3"/>
        <v>0.29011033359517446</v>
      </c>
      <c r="AD12">
        <v>14</v>
      </c>
      <c r="AE12">
        <f t="shared" si="4"/>
        <v>0.22442783745913125</v>
      </c>
      <c r="AF12">
        <f t="shared" si="5"/>
        <v>0.22161846628375409</v>
      </c>
    </row>
    <row r="13" spans="1:32" x14ac:dyDescent="0.15">
      <c r="A13" s="4"/>
      <c r="B13" s="1">
        <v>1369</v>
      </c>
      <c r="C13" s="1">
        <v>1072</v>
      </c>
      <c r="D13" s="1">
        <v>4162</v>
      </c>
      <c r="E13" s="1">
        <f t="shared" si="0"/>
        <v>0.32892839980778471</v>
      </c>
      <c r="F13" s="1">
        <f t="shared" si="1"/>
        <v>0.32556238434613299</v>
      </c>
      <c r="G13" s="1">
        <v>13</v>
      </c>
      <c r="H13">
        <v>0.25756847669389715</v>
      </c>
      <c r="I13">
        <v>0.25493270709938243</v>
      </c>
      <c r="O13" s="1">
        <v>1375</v>
      </c>
      <c r="P13" s="1">
        <v>868</v>
      </c>
      <c r="Q13" s="1">
        <v>4023</v>
      </c>
      <c r="R13" s="1">
        <v>0.34178473775789214</v>
      </c>
      <c r="S13" s="1">
        <v>0.32630697284846794</v>
      </c>
      <c r="T13" s="1">
        <v>14</v>
      </c>
      <c r="U13">
        <v>0.21575938354461843</v>
      </c>
      <c r="V13">
        <v>0.20598869267816011</v>
      </c>
      <c r="Y13">
        <v>1245</v>
      </c>
      <c r="Z13">
        <v>1030</v>
      </c>
      <c r="AA13">
        <v>3922</v>
      </c>
      <c r="AB13">
        <f t="shared" si="2"/>
        <v>0.31744008159102499</v>
      </c>
      <c r="AC13">
        <f t="shared" si="3"/>
        <v>0.28711237307312576</v>
      </c>
      <c r="AD13">
        <v>15</v>
      </c>
      <c r="AE13">
        <f t="shared" si="4"/>
        <v>0.26262111167771546</v>
      </c>
      <c r="AF13">
        <f t="shared" si="5"/>
        <v>0.23753071828539718</v>
      </c>
    </row>
    <row r="14" spans="1:32" x14ac:dyDescent="0.15">
      <c r="A14" s="4"/>
      <c r="B14" s="1">
        <v>1450</v>
      </c>
      <c r="C14" s="1">
        <v>1133</v>
      </c>
      <c r="D14" s="1">
        <v>4074</v>
      </c>
      <c r="E14" s="1">
        <f t="shared" si="0"/>
        <v>0.35591556210112912</v>
      </c>
      <c r="F14" s="1">
        <f t="shared" si="1"/>
        <v>0.34482502359524675</v>
      </c>
      <c r="G14" s="1">
        <v>14</v>
      </c>
      <c r="H14">
        <v>0.27810505645557193</v>
      </c>
      <c r="I14">
        <v>0.26943913912649281</v>
      </c>
      <c r="O14" s="1">
        <v>1374</v>
      </c>
      <c r="P14" s="1">
        <v>959</v>
      </c>
      <c r="Q14" s="1">
        <v>4152</v>
      </c>
      <c r="R14" s="1">
        <v>0.33092485549132949</v>
      </c>
      <c r="S14" s="1">
        <v>0.32606965868639631</v>
      </c>
      <c r="T14" s="1">
        <v>15</v>
      </c>
      <c r="U14">
        <v>0.23097302504816955</v>
      </c>
      <c r="V14">
        <v>0.22758428142667689</v>
      </c>
      <c r="Y14">
        <v>1399</v>
      </c>
      <c r="Z14">
        <v>1047</v>
      </c>
      <c r="AA14">
        <v>4520</v>
      </c>
      <c r="AB14">
        <f t="shared" si="2"/>
        <v>0.30951327433628317</v>
      </c>
      <c r="AC14">
        <f t="shared" si="3"/>
        <v>0.32262667464201034</v>
      </c>
      <c r="AD14">
        <v>16</v>
      </c>
      <c r="AE14">
        <f t="shared" si="4"/>
        <v>0.23163716814159291</v>
      </c>
      <c r="AF14">
        <f t="shared" si="5"/>
        <v>0.24145112819884551</v>
      </c>
    </row>
    <row r="15" spans="1:32" x14ac:dyDescent="0.15">
      <c r="A15" s="4"/>
      <c r="B15" s="1">
        <v>1637</v>
      </c>
      <c r="C15" s="1">
        <v>1251</v>
      </c>
      <c r="D15" s="1">
        <v>4320</v>
      </c>
      <c r="E15" s="1">
        <f t="shared" si="0"/>
        <v>0.37893518518518521</v>
      </c>
      <c r="F15" s="1">
        <f t="shared" si="1"/>
        <v>0.38929556112097857</v>
      </c>
      <c r="G15" s="1">
        <v>17</v>
      </c>
      <c r="H15">
        <v>0.28958333333333336</v>
      </c>
      <c r="I15">
        <v>0.2975007617363129</v>
      </c>
      <c r="O15" s="1">
        <v>1407</v>
      </c>
      <c r="P15" s="1">
        <v>1006</v>
      </c>
      <c r="Q15" s="1">
        <v>4243</v>
      </c>
      <c r="R15" s="1">
        <v>0.33160499646476549</v>
      </c>
      <c r="S15" s="1">
        <v>0.33390102603475952</v>
      </c>
      <c r="T15" s="1">
        <v>16</v>
      </c>
      <c r="U15">
        <v>0.23709639406080604</v>
      </c>
      <c r="V15">
        <v>0.23873804704404269</v>
      </c>
      <c r="Y15">
        <v>1413</v>
      </c>
      <c r="Z15">
        <v>1133</v>
      </c>
      <c r="AA15">
        <v>4405</v>
      </c>
      <c r="AB15">
        <f t="shared" si="2"/>
        <v>0.32077185017026105</v>
      </c>
      <c r="AC15">
        <f t="shared" si="3"/>
        <v>0.32585524751190897</v>
      </c>
      <c r="AD15">
        <v>17</v>
      </c>
      <c r="AE15">
        <f t="shared" si="4"/>
        <v>0.2572077185017026</v>
      </c>
      <c r="AF15">
        <f t="shared" si="5"/>
        <v>0.26128379011393693</v>
      </c>
    </row>
    <row r="16" spans="1:32" x14ac:dyDescent="0.15">
      <c r="A16" s="4"/>
      <c r="B16" s="1">
        <v>1744</v>
      </c>
      <c r="C16" s="1">
        <v>1284</v>
      </c>
      <c r="D16" s="1">
        <v>4373</v>
      </c>
      <c r="E16" s="1">
        <f t="shared" si="0"/>
        <v>0.39881088497598904</v>
      </c>
      <c r="F16" s="1">
        <f t="shared" si="1"/>
        <v>0.4147412697586968</v>
      </c>
      <c r="G16" s="1">
        <v>18</v>
      </c>
      <c r="H16">
        <v>0.29361994054424878</v>
      </c>
      <c r="I16">
        <v>0.30534850365261851</v>
      </c>
      <c r="O16" s="1">
        <v>1504</v>
      </c>
      <c r="P16" s="1">
        <v>1029</v>
      </c>
      <c r="Q16" s="1">
        <v>4486</v>
      </c>
      <c r="R16" s="1">
        <v>0.33526526972804283</v>
      </c>
      <c r="S16" s="1">
        <v>0.356920499755706</v>
      </c>
      <c r="T16" s="1">
        <v>17</v>
      </c>
      <c r="U16">
        <v>0.22938029424877396</v>
      </c>
      <c r="V16">
        <v>0.24419627277168982</v>
      </c>
      <c r="Y16">
        <v>1509</v>
      </c>
      <c r="Z16">
        <v>1134</v>
      </c>
      <c r="AA16">
        <v>4447</v>
      </c>
      <c r="AB16">
        <f t="shared" si="2"/>
        <v>0.33932988531594332</v>
      </c>
      <c r="AC16">
        <f t="shared" si="3"/>
        <v>0.34799403290549941</v>
      </c>
      <c r="AD16">
        <v>18</v>
      </c>
      <c r="AE16">
        <f t="shared" si="4"/>
        <v>0.2550033730604902</v>
      </c>
      <c r="AF16">
        <f t="shared" si="5"/>
        <v>0.26151440246178681</v>
      </c>
    </row>
    <row r="17" spans="1:32" x14ac:dyDescent="0.15">
      <c r="A17" s="4"/>
      <c r="B17" s="1">
        <v>1777</v>
      </c>
      <c r="C17" s="1">
        <v>1319</v>
      </c>
      <c r="D17" s="1">
        <v>4326</v>
      </c>
      <c r="E17" s="1">
        <f t="shared" si="0"/>
        <v>0.41077207582061953</v>
      </c>
      <c r="F17" s="1">
        <f t="shared" si="1"/>
        <v>0.4225890116750024</v>
      </c>
      <c r="G17" s="1">
        <v>19</v>
      </c>
      <c r="H17">
        <v>0.30490060101710587</v>
      </c>
      <c r="I17">
        <v>0.31367186629112448</v>
      </c>
      <c r="O17" s="1">
        <v>1659</v>
      </c>
      <c r="P17" s="1">
        <v>1184</v>
      </c>
      <c r="Q17" s="1">
        <v>4289</v>
      </c>
      <c r="R17" s="1">
        <v>0.38680345068780603</v>
      </c>
      <c r="S17" s="1">
        <v>0.39370419487680602</v>
      </c>
      <c r="T17" s="1">
        <v>20</v>
      </c>
      <c r="U17">
        <v>0.27605502448123104</v>
      </c>
      <c r="V17">
        <v>0.28097996789278984</v>
      </c>
      <c r="Y17">
        <v>1586</v>
      </c>
      <c r="Z17">
        <v>1149</v>
      </c>
      <c r="AA17">
        <v>4184</v>
      </c>
      <c r="AB17">
        <f t="shared" si="2"/>
        <v>0.37906309751434036</v>
      </c>
      <c r="AC17">
        <f t="shared" si="3"/>
        <v>0.36575118368994169</v>
      </c>
      <c r="AD17">
        <v>19</v>
      </c>
      <c r="AE17">
        <f t="shared" si="4"/>
        <v>0.27461759082217974</v>
      </c>
      <c r="AF17">
        <f t="shared" si="5"/>
        <v>0.26497358767953533</v>
      </c>
    </row>
    <row r="18" spans="1:32" x14ac:dyDescent="0.15">
      <c r="A18" s="4"/>
      <c r="B18" s="1">
        <v>1751</v>
      </c>
      <c r="C18" s="1">
        <v>1329</v>
      </c>
      <c r="D18" s="1">
        <v>4233</v>
      </c>
      <c r="E18" s="1">
        <f t="shared" si="0"/>
        <v>0.41365461847389556</v>
      </c>
      <c r="F18" s="1">
        <f t="shared" si="1"/>
        <v>0.41640594228639799</v>
      </c>
      <c r="G18" s="1">
        <v>20</v>
      </c>
      <c r="H18">
        <v>0.31396172927002125</v>
      </c>
      <c r="I18">
        <v>0.31604996990212619</v>
      </c>
      <c r="O18" s="1">
        <v>1697</v>
      </c>
      <c r="P18" s="1">
        <v>1101</v>
      </c>
      <c r="Q18" s="1">
        <v>4335</v>
      </c>
      <c r="R18" s="1">
        <v>0.39146482122260667</v>
      </c>
      <c r="S18" s="1">
        <v>0.40272213303552729</v>
      </c>
      <c r="T18" s="1">
        <v>21</v>
      </c>
      <c r="U18">
        <v>0.25397923875432526</v>
      </c>
      <c r="V18">
        <v>0.26128289244084596</v>
      </c>
      <c r="Y18">
        <v>1676</v>
      </c>
      <c r="Z18">
        <v>1231</v>
      </c>
      <c r="AA18">
        <v>4418</v>
      </c>
      <c r="AB18">
        <f t="shared" si="2"/>
        <v>0.37935717519239476</v>
      </c>
      <c r="AC18">
        <f t="shared" si="3"/>
        <v>0.38650629499643274</v>
      </c>
      <c r="AD18">
        <v>20</v>
      </c>
      <c r="AE18">
        <f t="shared" si="4"/>
        <v>0.27863286555002265</v>
      </c>
      <c r="AF18">
        <f t="shared" si="5"/>
        <v>0.28388380020322712</v>
      </c>
    </row>
    <row r="19" spans="1:32" x14ac:dyDescent="0.15">
      <c r="A19" s="4"/>
      <c r="B19" s="1">
        <v>1830</v>
      </c>
      <c r="C19" s="1">
        <v>1337</v>
      </c>
      <c r="D19" s="1">
        <v>4476</v>
      </c>
      <c r="E19" s="1">
        <f t="shared" si="0"/>
        <v>0.40884718498659517</v>
      </c>
      <c r="F19" s="1">
        <f t="shared" si="1"/>
        <v>0.43519296081331144</v>
      </c>
      <c r="G19" s="1">
        <v>21</v>
      </c>
      <c r="H19">
        <v>0.29870420017873101</v>
      </c>
      <c r="I19">
        <v>0.31795245279092754</v>
      </c>
      <c r="O19" s="1">
        <v>1689</v>
      </c>
      <c r="P19" s="1">
        <v>1243</v>
      </c>
      <c r="Q19" s="1">
        <v>4194</v>
      </c>
      <c r="R19" s="1">
        <v>0.40271816881258943</v>
      </c>
      <c r="S19" s="1">
        <v>0.40082361973895442</v>
      </c>
      <c r="T19" s="1">
        <v>22</v>
      </c>
      <c r="U19">
        <v>0.29637577491654743</v>
      </c>
      <c r="V19">
        <v>0.294981503455015</v>
      </c>
      <c r="Y19">
        <v>1676</v>
      </c>
      <c r="Z19">
        <v>1265</v>
      </c>
      <c r="AA19">
        <v>4321</v>
      </c>
      <c r="AB19">
        <f t="shared" si="2"/>
        <v>0.38787317750520711</v>
      </c>
      <c r="AC19">
        <f t="shared" si="3"/>
        <v>0.38650629499643274</v>
      </c>
      <c r="AD19">
        <v>21</v>
      </c>
      <c r="AE19">
        <f t="shared" si="4"/>
        <v>0.29275630641055311</v>
      </c>
      <c r="AF19">
        <f t="shared" si="5"/>
        <v>0.29172462003012373</v>
      </c>
    </row>
    <row r="20" spans="1:32" x14ac:dyDescent="0.15">
      <c r="A20" s="4"/>
      <c r="B20" s="1">
        <v>1943</v>
      </c>
      <c r="C20" s="1">
        <v>1316</v>
      </c>
      <c r="D20" s="1">
        <v>4340</v>
      </c>
      <c r="E20" s="1">
        <f t="shared" si="0"/>
        <v>0.44769585253456223</v>
      </c>
      <c r="F20" s="1">
        <f t="shared" si="1"/>
        <v>0.46206553161763064</v>
      </c>
      <c r="G20" s="1">
        <v>22</v>
      </c>
      <c r="H20">
        <v>0.3032258064516129</v>
      </c>
      <c r="I20">
        <v>0.31295843520782396</v>
      </c>
      <c r="O20" s="1">
        <v>1711</v>
      </c>
      <c r="P20" s="1">
        <v>1212</v>
      </c>
      <c r="Q20" s="1">
        <v>4175</v>
      </c>
      <c r="R20" s="1">
        <v>0.40982035928143712</v>
      </c>
      <c r="S20" s="1">
        <v>0.40604453130452989</v>
      </c>
      <c r="T20" s="1">
        <v>23</v>
      </c>
      <c r="U20">
        <v>0.29029940119760478</v>
      </c>
      <c r="V20">
        <v>0.28762476443079499</v>
      </c>
      <c r="Y20">
        <v>1743</v>
      </c>
      <c r="Z20">
        <v>1389</v>
      </c>
      <c r="AA20">
        <v>4364</v>
      </c>
      <c r="AB20">
        <f t="shared" si="2"/>
        <v>0.39940421631530704</v>
      </c>
      <c r="AC20">
        <f t="shared" si="3"/>
        <v>0.40195732230237602</v>
      </c>
      <c r="AD20">
        <v>24</v>
      </c>
      <c r="AE20">
        <f t="shared" si="4"/>
        <v>0.31828597616865262</v>
      </c>
      <c r="AF20">
        <f t="shared" si="5"/>
        <v>0.32032055116351138</v>
      </c>
    </row>
    <row r="21" spans="1:32" x14ac:dyDescent="0.15">
      <c r="A21" s="4"/>
      <c r="B21" s="1">
        <v>1936</v>
      </c>
      <c r="C21" s="1">
        <v>1336</v>
      </c>
      <c r="D21" s="1">
        <v>4409</v>
      </c>
      <c r="E21" s="1">
        <f t="shared" si="0"/>
        <v>0.43910183715128148</v>
      </c>
      <c r="F21" s="1">
        <f t="shared" si="1"/>
        <v>0.46040085908992945</v>
      </c>
      <c r="G21" s="1">
        <v>23</v>
      </c>
      <c r="H21">
        <v>0.30301655704241326</v>
      </c>
      <c r="I21">
        <v>0.31771464242982739</v>
      </c>
      <c r="O21" s="1">
        <v>1807</v>
      </c>
      <c r="P21" s="1">
        <v>1234</v>
      </c>
      <c r="Q21" s="1">
        <v>4277</v>
      </c>
      <c r="R21" s="1">
        <v>0.42249240121580545</v>
      </c>
      <c r="S21" s="1">
        <v>0.42882669086340475</v>
      </c>
      <c r="T21" s="1">
        <v>24</v>
      </c>
      <c r="U21">
        <v>0.28851999064765022</v>
      </c>
      <c r="V21">
        <v>0.29284567599637046</v>
      </c>
      <c r="Y21">
        <v>1949</v>
      </c>
      <c r="Z21">
        <v>1386</v>
      </c>
      <c r="AA21">
        <v>4550</v>
      </c>
      <c r="AB21">
        <f t="shared" si="2"/>
        <v>0.42835164835164835</v>
      </c>
      <c r="AC21">
        <f t="shared" si="3"/>
        <v>0.44946346595945547</v>
      </c>
      <c r="AD21">
        <v>25</v>
      </c>
      <c r="AE21">
        <f t="shared" si="4"/>
        <v>0.30461538461538462</v>
      </c>
      <c r="AF21">
        <f t="shared" si="5"/>
        <v>0.31962871411996169</v>
      </c>
    </row>
    <row r="22" spans="1:32" x14ac:dyDescent="0.15">
      <c r="A22" s="4"/>
      <c r="B22" s="1">
        <v>1901</v>
      </c>
      <c r="C22" s="1">
        <v>1400</v>
      </c>
      <c r="D22" s="1">
        <v>4329</v>
      </c>
      <c r="E22" s="1">
        <f t="shared" si="0"/>
        <v>0.43913143913143915</v>
      </c>
      <c r="F22" s="1">
        <f t="shared" si="1"/>
        <v>0.45207749645142353</v>
      </c>
      <c r="G22" s="1">
        <v>24</v>
      </c>
      <c r="H22">
        <v>0.32340032340032338</v>
      </c>
      <c r="I22">
        <v>0.33293450554023823</v>
      </c>
      <c r="O22" s="1">
        <v>1867</v>
      </c>
      <c r="P22" s="1">
        <v>1286</v>
      </c>
      <c r="Q22" s="1">
        <v>4265</v>
      </c>
      <c r="R22" s="1">
        <v>0.4377491207502931</v>
      </c>
      <c r="S22" s="1">
        <v>0.44306554058770153</v>
      </c>
      <c r="T22" s="1">
        <v>25</v>
      </c>
      <c r="U22">
        <v>0.30152403282532242</v>
      </c>
      <c r="V22">
        <v>0.30518601242409438</v>
      </c>
      <c r="Y22">
        <v>1929</v>
      </c>
      <c r="Z22">
        <v>1310</v>
      </c>
      <c r="AA22">
        <v>4592</v>
      </c>
      <c r="AB22">
        <f t="shared" si="2"/>
        <v>0.42007839721254353</v>
      </c>
      <c r="AC22">
        <f t="shared" si="3"/>
        <v>0.44485121900245744</v>
      </c>
      <c r="AD22">
        <v>26</v>
      </c>
      <c r="AE22">
        <f t="shared" si="4"/>
        <v>0.28527874564459932</v>
      </c>
      <c r="AF22">
        <f t="shared" si="5"/>
        <v>0.30210217568336922</v>
      </c>
    </row>
    <row r="23" spans="1:32" x14ac:dyDescent="0.15">
      <c r="A23" s="4"/>
      <c r="B23" s="1">
        <v>1995</v>
      </c>
      <c r="C23" s="1">
        <v>1403</v>
      </c>
      <c r="D23" s="1">
        <v>4391</v>
      </c>
      <c r="E23" s="1">
        <f t="shared" si="0"/>
        <v>0.45433841949442039</v>
      </c>
      <c r="F23" s="1">
        <f t="shared" si="1"/>
        <v>0.47443167039483952</v>
      </c>
      <c r="G23" s="1">
        <v>25</v>
      </c>
      <c r="H23">
        <v>0.3195171942609884</v>
      </c>
      <c r="I23">
        <v>0.33364793662353875</v>
      </c>
      <c r="O23" s="1">
        <v>1873</v>
      </c>
      <c r="P23" s="1">
        <v>1262</v>
      </c>
      <c r="Q23" s="1">
        <v>4337</v>
      </c>
      <c r="R23" s="1">
        <v>0.43186534470832372</v>
      </c>
      <c r="S23" s="1">
        <v>0.44448942556013121</v>
      </c>
      <c r="T23" s="1">
        <v>26</v>
      </c>
      <c r="U23">
        <v>0.29098455153331798</v>
      </c>
      <c r="V23">
        <v>0.29949047253437566</v>
      </c>
      <c r="Y23">
        <v>2041</v>
      </c>
      <c r="Z23">
        <v>1336</v>
      </c>
      <c r="AA23">
        <v>4591</v>
      </c>
      <c r="AB23">
        <f t="shared" si="2"/>
        <v>0.44456545414942278</v>
      </c>
      <c r="AC23">
        <f t="shared" si="3"/>
        <v>0.47067980196164627</v>
      </c>
      <c r="AD23">
        <v>27</v>
      </c>
      <c r="AE23">
        <f t="shared" si="4"/>
        <v>0.29100413853191026</v>
      </c>
      <c r="AF23">
        <f t="shared" si="5"/>
        <v>0.30809809672746663</v>
      </c>
    </row>
    <row r="24" spans="1:32" x14ac:dyDescent="0.15">
      <c r="A24" s="4"/>
      <c r="B24" s="1">
        <v>2022</v>
      </c>
      <c r="C24" s="1">
        <v>1446</v>
      </c>
      <c r="D24" s="1">
        <v>4342</v>
      </c>
      <c r="E24" s="1">
        <f t="shared" si="0"/>
        <v>0.46568401658222019</v>
      </c>
      <c r="F24" s="1">
        <f t="shared" si="1"/>
        <v>0.48085255014454409</v>
      </c>
      <c r="G24" s="1">
        <v>26</v>
      </c>
      <c r="H24">
        <v>0.33302625518194379</v>
      </c>
      <c r="I24">
        <v>0.34387378215084607</v>
      </c>
      <c r="O24" s="1">
        <v>1959</v>
      </c>
      <c r="P24" s="1">
        <v>1300</v>
      </c>
      <c r="Q24" s="1">
        <v>4267</v>
      </c>
      <c r="R24" s="1">
        <v>0.45910475744082496</v>
      </c>
      <c r="S24" s="1">
        <v>0.4648984434982899</v>
      </c>
      <c r="T24" s="1">
        <v>27</v>
      </c>
      <c r="U24">
        <v>0.30466369814858213</v>
      </c>
      <c r="V24">
        <v>0.30850841069309692</v>
      </c>
      <c r="Y24">
        <v>1908</v>
      </c>
      <c r="Z24">
        <v>1365</v>
      </c>
      <c r="AA24">
        <v>4579</v>
      </c>
      <c r="AB24">
        <f t="shared" si="2"/>
        <v>0.41668486569119895</v>
      </c>
      <c r="AC24">
        <f t="shared" si="3"/>
        <v>0.44000835969760954</v>
      </c>
      <c r="AD24">
        <v>28</v>
      </c>
      <c r="AE24">
        <f t="shared" si="4"/>
        <v>0.29810002183882944</v>
      </c>
      <c r="AF24">
        <f t="shared" si="5"/>
        <v>0.31478585481511373</v>
      </c>
    </row>
    <row r="25" spans="1:32" x14ac:dyDescent="0.15">
      <c r="B25" s="1">
        <v>2144</v>
      </c>
      <c r="C25" s="1">
        <v>1353</v>
      </c>
      <c r="D25" s="1">
        <v>4289</v>
      </c>
      <c r="E25" s="1">
        <f t="shared" si="0"/>
        <v>0.49988342270925623</v>
      </c>
      <c r="F25" s="1">
        <f t="shared" si="1"/>
        <v>0.50986541419876485</v>
      </c>
      <c r="G25" s="1">
        <v>29</v>
      </c>
      <c r="H25">
        <v>0.31545814875262301</v>
      </c>
      <c r="I25">
        <v>0.32175741856853024</v>
      </c>
      <c r="O25" s="1">
        <v>1992</v>
      </c>
      <c r="P25" s="1">
        <v>1323</v>
      </c>
      <c r="Q25" s="1">
        <v>4097</v>
      </c>
      <c r="R25" s="1">
        <v>0.48620942152794727</v>
      </c>
      <c r="S25" s="1">
        <v>0.47272981084665316</v>
      </c>
      <c r="T25" s="1">
        <v>28</v>
      </c>
      <c r="U25">
        <v>0.32291920917744693</v>
      </c>
      <c r="V25">
        <v>0.31396663642074402</v>
      </c>
      <c r="Y25">
        <v>2126</v>
      </c>
      <c r="Z25">
        <v>1301</v>
      </c>
      <c r="AA25">
        <v>4588</v>
      </c>
      <c r="AB25">
        <f t="shared" si="2"/>
        <v>0.46338273757628595</v>
      </c>
      <c r="AC25">
        <f t="shared" si="3"/>
        <v>0.49028185152888781</v>
      </c>
      <c r="AD25">
        <v>29</v>
      </c>
      <c r="AE25">
        <f t="shared" si="4"/>
        <v>0.28356582388840451</v>
      </c>
      <c r="AF25">
        <f t="shared" si="5"/>
        <v>0.30002666455272015</v>
      </c>
    </row>
    <row r="26" spans="1:32" x14ac:dyDescent="0.15">
      <c r="B26" s="1">
        <v>1974</v>
      </c>
      <c r="C26" s="1">
        <v>1355</v>
      </c>
      <c r="D26" s="1">
        <v>4259</v>
      </c>
      <c r="E26" s="1">
        <f t="shared" si="0"/>
        <v>0.46348908194411836</v>
      </c>
      <c r="F26" s="1">
        <f t="shared" si="1"/>
        <v>0.46943765281173594</v>
      </c>
      <c r="G26" s="1">
        <v>30</v>
      </c>
      <c r="H26">
        <v>0.31814980042263441</v>
      </c>
      <c r="I26">
        <v>0.32223303929073061</v>
      </c>
      <c r="O26" s="1">
        <v>2037</v>
      </c>
      <c r="P26" s="1">
        <v>1339</v>
      </c>
      <c r="Q26" s="1">
        <v>4275</v>
      </c>
      <c r="R26" s="1">
        <v>0.47649122807017547</v>
      </c>
      <c r="S26" s="1">
        <v>0.48340894813987573</v>
      </c>
      <c r="T26" s="1">
        <v>29</v>
      </c>
      <c r="U26">
        <v>0.31321637426900584</v>
      </c>
      <c r="V26">
        <v>0.31776366301388986</v>
      </c>
      <c r="Y26">
        <v>2156</v>
      </c>
      <c r="Z26">
        <v>1421</v>
      </c>
      <c r="AA26">
        <v>4518</v>
      </c>
      <c r="AB26">
        <f t="shared" si="2"/>
        <v>0.47720230190349711</v>
      </c>
      <c r="AC26">
        <f t="shared" si="3"/>
        <v>0.49720022196438479</v>
      </c>
      <c r="AD26">
        <v>30</v>
      </c>
      <c r="AE26">
        <f t="shared" si="4"/>
        <v>0.31451969898185039</v>
      </c>
      <c r="AF26">
        <f t="shared" si="5"/>
        <v>0.32770014629470817</v>
      </c>
    </row>
    <row r="27" spans="1:32" x14ac:dyDescent="0.15">
      <c r="B27" s="1">
        <v>2157</v>
      </c>
      <c r="C27" s="1">
        <v>1370</v>
      </c>
      <c r="D27" s="1">
        <v>4446</v>
      </c>
      <c r="E27" s="1">
        <f t="shared" si="0"/>
        <v>0.4851551956815115</v>
      </c>
      <c r="F27" s="1">
        <f t="shared" si="1"/>
        <v>0.51295694889306709</v>
      </c>
      <c r="G27" s="1">
        <v>31</v>
      </c>
      <c r="H27">
        <v>0.30814215024741343</v>
      </c>
      <c r="I27">
        <v>0.32580019470723315</v>
      </c>
      <c r="O27" s="1">
        <v>2168</v>
      </c>
      <c r="P27" s="1">
        <v>1390</v>
      </c>
      <c r="Q27" s="1">
        <v>4284</v>
      </c>
      <c r="R27" s="1">
        <v>0.5060690943043884</v>
      </c>
      <c r="S27" s="1">
        <v>0.51449710337125709</v>
      </c>
      <c r="T27" s="1">
        <v>32</v>
      </c>
      <c r="U27">
        <v>0.32446311858076565</v>
      </c>
      <c r="V27">
        <v>0.3298666852795421</v>
      </c>
      <c r="Y27">
        <v>2112</v>
      </c>
      <c r="Z27">
        <v>1358</v>
      </c>
      <c r="AA27">
        <v>4434</v>
      </c>
      <c r="AB27">
        <f t="shared" si="2"/>
        <v>0.47631935047361301</v>
      </c>
      <c r="AC27">
        <f t="shared" si="3"/>
        <v>0.48705327865898917</v>
      </c>
      <c r="AD27">
        <v>31</v>
      </c>
      <c r="AE27">
        <f t="shared" si="4"/>
        <v>0.30626973387460532</v>
      </c>
      <c r="AF27">
        <f t="shared" si="5"/>
        <v>0.31317156838016447</v>
      </c>
    </row>
    <row r="28" spans="1:32" x14ac:dyDescent="0.15">
      <c r="B28" s="1">
        <v>2168</v>
      </c>
      <c r="C28" s="1">
        <v>1389</v>
      </c>
      <c r="D28" s="1">
        <v>4255</v>
      </c>
      <c r="E28" s="1">
        <f t="shared" si="0"/>
        <v>0.5095182138660399</v>
      </c>
      <c r="F28" s="1">
        <f t="shared" si="1"/>
        <v>0.5155728628651689</v>
      </c>
      <c r="G28" s="1">
        <v>32</v>
      </c>
      <c r="H28">
        <v>0.3264394829612221</v>
      </c>
      <c r="I28">
        <v>0.33031859156813637</v>
      </c>
      <c r="O28" s="1">
        <v>2199</v>
      </c>
      <c r="P28" s="1">
        <v>1367</v>
      </c>
      <c r="Q28" s="1">
        <v>4319</v>
      </c>
      <c r="R28" s="1">
        <v>0.50914563556378789</v>
      </c>
      <c r="S28" s="1">
        <v>0.52185384239547705</v>
      </c>
      <c r="T28" s="1">
        <v>33</v>
      </c>
      <c r="U28">
        <v>0.31650845103033109</v>
      </c>
      <c r="V28">
        <v>0.32440845955189501</v>
      </c>
      <c r="Y28">
        <v>2217</v>
      </c>
      <c r="Z28">
        <v>1356</v>
      </c>
      <c r="AA28">
        <v>4624</v>
      </c>
      <c r="AB28">
        <f t="shared" si="2"/>
        <v>0.47945501730103807</v>
      </c>
      <c r="AC28">
        <f t="shared" si="3"/>
        <v>0.51126757518322874</v>
      </c>
      <c r="AD28">
        <v>32</v>
      </c>
      <c r="AE28">
        <f t="shared" si="4"/>
        <v>0.29325259515570934</v>
      </c>
      <c r="AF28">
        <f t="shared" si="5"/>
        <v>0.31271034368446465</v>
      </c>
    </row>
    <row r="29" spans="1:32" x14ac:dyDescent="0.15">
      <c r="B29" s="1">
        <v>2197</v>
      </c>
      <c r="C29" s="1">
        <v>1377</v>
      </c>
      <c r="D29" s="1">
        <v>4462</v>
      </c>
      <c r="E29" s="1">
        <f t="shared" si="0"/>
        <v>0.49238009861048859</v>
      </c>
      <c r="F29" s="1">
        <f t="shared" si="1"/>
        <v>0.52246936333707394</v>
      </c>
      <c r="G29" s="1">
        <v>33</v>
      </c>
      <c r="H29">
        <v>0.3086060062752129</v>
      </c>
      <c r="I29">
        <v>0.32746486723493434</v>
      </c>
      <c r="O29" s="1">
        <v>2279</v>
      </c>
      <c r="P29" s="1">
        <v>1421</v>
      </c>
      <c r="Q29" s="1">
        <v>4388</v>
      </c>
      <c r="R29" s="1">
        <v>0.51937101185050139</v>
      </c>
      <c r="S29" s="1">
        <v>0.54083897536120606</v>
      </c>
      <c r="T29" s="1">
        <v>34</v>
      </c>
      <c r="U29">
        <v>0.32383773928896992</v>
      </c>
      <c r="V29">
        <v>0.33722342430376212</v>
      </c>
      <c r="Y29">
        <v>2287</v>
      </c>
      <c r="Z29">
        <v>1429</v>
      </c>
      <c r="AA29">
        <v>4551</v>
      </c>
      <c r="AB29">
        <f t="shared" si="2"/>
        <v>0.50252691716106346</v>
      </c>
      <c r="AC29">
        <f t="shared" si="3"/>
        <v>0.52741043953272171</v>
      </c>
      <c r="AD29">
        <v>33</v>
      </c>
      <c r="AE29">
        <f t="shared" si="4"/>
        <v>0.3139969237530213</v>
      </c>
      <c r="AF29">
        <f t="shared" si="5"/>
        <v>0.32954504507750737</v>
      </c>
    </row>
    <row r="30" spans="1:32" x14ac:dyDescent="0.15">
      <c r="B30" s="1">
        <v>2226</v>
      </c>
      <c r="C30" s="1">
        <v>1400</v>
      </c>
      <c r="D30" s="1">
        <v>4359</v>
      </c>
      <c r="E30" s="1">
        <f t="shared" si="0"/>
        <v>0.51066758430832759</v>
      </c>
      <c r="F30" s="1">
        <f t="shared" si="1"/>
        <v>0.52936586380897888</v>
      </c>
      <c r="G30" s="1">
        <v>34</v>
      </c>
      <c r="H30">
        <v>0.32117458132599219</v>
      </c>
      <c r="I30">
        <v>0.33293450554023823</v>
      </c>
      <c r="O30" s="1">
        <v>2323</v>
      </c>
      <c r="P30" s="1">
        <v>1391</v>
      </c>
      <c r="Q30" s="1">
        <v>4346</v>
      </c>
      <c r="R30" s="1">
        <v>0.53451449608835711</v>
      </c>
      <c r="S30" s="1">
        <v>0.55128079849235712</v>
      </c>
      <c r="T30" s="1">
        <v>35</v>
      </c>
      <c r="U30">
        <v>0.32006442705936494</v>
      </c>
      <c r="V30">
        <v>0.33010399944161373</v>
      </c>
      <c r="Y30">
        <v>2303</v>
      </c>
      <c r="Z30">
        <v>1394</v>
      </c>
      <c r="AA30">
        <v>4628</v>
      </c>
      <c r="AB30">
        <f t="shared" si="2"/>
        <v>0.49762316335350043</v>
      </c>
      <c r="AC30">
        <f t="shared" si="3"/>
        <v>0.5311002370983201</v>
      </c>
      <c r="AD30">
        <v>34</v>
      </c>
      <c r="AE30">
        <f t="shared" si="4"/>
        <v>0.30121002592912705</v>
      </c>
      <c r="AF30">
        <f t="shared" si="5"/>
        <v>0.32147361290276089</v>
      </c>
    </row>
    <row r="31" spans="1:32" x14ac:dyDescent="0.15">
      <c r="B31" s="1">
        <v>2341</v>
      </c>
      <c r="C31" s="1">
        <v>1317</v>
      </c>
      <c r="D31" s="1">
        <v>4409</v>
      </c>
      <c r="E31" s="1">
        <f t="shared" si="0"/>
        <v>0.53095940122476748</v>
      </c>
      <c r="F31" s="1">
        <f t="shared" si="1"/>
        <v>0.55671405533549845</v>
      </c>
      <c r="G31" s="1">
        <v>35</v>
      </c>
      <c r="H31">
        <v>0.29870718983896577</v>
      </c>
      <c r="I31">
        <v>0.31319624556892411</v>
      </c>
      <c r="O31" s="1">
        <v>2325</v>
      </c>
      <c r="P31" s="1">
        <v>1400</v>
      </c>
      <c r="Q31" s="1">
        <v>4352</v>
      </c>
      <c r="R31" s="1">
        <v>0.53423713235294112</v>
      </c>
      <c r="S31" s="1">
        <v>0.55175542681650025</v>
      </c>
      <c r="T31" s="1">
        <v>36</v>
      </c>
      <c r="U31">
        <v>0.32169117647058826</v>
      </c>
      <c r="V31">
        <v>0.33223982690025822</v>
      </c>
      <c r="Y31">
        <v>2331</v>
      </c>
      <c r="Z31">
        <v>1342</v>
      </c>
      <c r="AA31">
        <v>4389</v>
      </c>
      <c r="AB31">
        <f t="shared" si="2"/>
        <v>0.53110047846889952</v>
      </c>
      <c r="AC31">
        <f t="shared" si="3"/>
        <v>0.53755738283811738</v>
      </c>
      <c r="AD31">
        <v>35</v>
      </c>
      <c r="AE31">
        <f t="shared" si="4"/>
        <v>0.30576441102756891</v>
      </c>
      <c r="AF31">
        <f t="shared" si="5"/>
        <v>0.30948177081456607</v>
      </c>
    </row>
    <row r="32" spans="1:32" x14ac:dyDescent="0.15">
      <c r="B32" s="1">
        <v>2291</v>
      </c>
      <c r="C32" s="1">
        <v>1364</v>
      </c>
      <c r="D32" s="1">
        <v>4379</v>
      </c>
      <c r="E32" s="1">
        <f t="shared" si="0"/>
        <v>0.52317880794701987</v>
      </c>
      <c r="F32" s="1">
        <f t="shared" si="1"/>
        <v>0.54482353728048993</v>
      </c>
      <c r="G32" s="1">
        <v>36</v>
      </c>
      <c r="H32">
        <v>0.31148664078556748</v>
      </c>
      <c r="I32">
        <v>0.32437333254063211</v>
      </c>
      <c r="O32" s="1">
        <v>2318</v>
      </c>
      <c r="P32" s="1">
        <v>1388</v>
      </c>
      <c r="Q32" s="1">
        <v>4377</v>
      </c>
      <c r="R32" s="1">
        <v>0.52958647475439802</v>
      </c>
      <c r="S32" s="1">
        <v>0.550094227681999</v>
      </c>
      <c r="T32" s="1">
        <v>37</v>
      </c>
      <c r="U32">
        <v>0.31711217729038155</v>
      </c>
      <c r="V32">
        <v>0.32939205695539886</v>
      </c>
      <c r="Y32">
        <v>2397</v>
      </c>
      <c r="Z32">
        <v>1419</v>
      </c>
      <c r="AA32">
        <v>4623</v>
      </c>
      <c r="AB32">
        <f t="shared" si="2"/>
        <v>0.518494484101233</v>
      </c>
      <c r="AC32">
        <f t="shared" si="3"/>
        <v>0.55277779779621072</v>
      </c>
      <c r="AD32">
        <v>38</v>
      </c>
      <c r="AE32">
        <f t="shared" si="4"/>
        <v>0.30694354315379624</v>
      </c>
      <c r="AF32">
        <f t="shared" si="5"/>
        <v>0.32723892159900836</v>
      </c>
    </row>
    <row r="33" spans="2:32" x14ac:dyDescent="0.15">
      <c r="B33" s="1">
        <v>2445</v>
      </c>
      <c r="C33" s="1">
        <v>1362</v>
      </c>
      <c r="D33" s="3">
        <v>3803</v>
      </c>
      <c r="E33" s="1">
        <f t="shared" si="0"/>
        <v>0.64291348935051273</v>
      </c>
      <c r="F33" s="1">
        <f t="shared" si="1"/>
        <v>0.5814463328899161</v>
      </c>
      <c r="G33" s="1">
        <v>37</v>
      </c>
      <c r="H33">
        <v>0.35813831185905864</v>
      </c>
      <c r="I33">
        <v>0.3238977118184318</v>
      </c>
      <c r="O33" s="1">
        <v>2418</v>
      </c>
      <c r="P33" s="1">
        <v>1403</v>
      </c>
      <c r="Q33" s="1">
        <v>4367</v>
      </c>
      <c r="R33" s="1">
        <v>0.55369819097778794</v>
      </c>
      <c r="S33" s="1">
        <v>0.57382564388916035</v>
      </c>
      <c r="T33" s="1">
        <v>38</v>
      </c>
      <c r="U33">
        <v>0.32127318525303411</v>
      </c>
      <c r="V33">
        <v>0.33295176938647308</v>
      </c>
      <c r="Y33">
        <v>2547</v>
      </c>
      <c r="Z33">
        <v>1437</v>
      </c>
      <c r="AA33">
        <v>4505</v>
      </c>
      <c r="AB33">
        <f t="shared" si="2"/>
        <v>0.56537180910099893</v>
      </c>
      <c r="AC33">
        <f t="shared" si="3"/>
        <v>0.58736964997369578</v>
      </c>
      <c r="AD33">
        <v>39</v>
      </c>
      <c r="AE33">
        <f t="shared" si="4"/>
        <v>0.31897891231964481</v>
      </c>
      <c r="AF33">
        <f t="shared" si="5"/>
        <v>0.33138994386030657</v>
      </c>
    </row>
    <row r="34" spans="2:32" x14ac:dyDescent="0.15">
      <c r="B34" s="1">
        <v>2408</v>
      </c>
      <c r="C34" s="1">
        <v>1364</v>
      </c>
      <c r="D34" s="1">
        <v>4456</v>
      </c>
      <c r="E34" s="1">
        <f t="shared" si="0"/>
        <v>0.54039497307001794</v>
      </c>
      <c r="F34" s="1">
        <f t="shared" si="1"/>
        <v>0.57264734952920981</v>
      </c>
      <c r="G34" s="1">
        <v>38</v>
      </c>
      <c r="H34">
        <v>0.30610412926391384</v>
      </c>
      <c r="I34">
        <v>0.32437333254063211</v>
      </c>
      <c r="O34" s="1">
        <v>2420</v>
      </c>
      <c r="P34" s="1">
        <v>1376</v>
      </c>
      <c r="Q34" s="1">
        <v>4277</v>
      </c>
      <c r="R34" s="1">
        <v>0.56581716156184236</v>
      </c>
      <c r="S34" s="1">
        <v>0.57430027221330349</v>
      </c>
      <c r="T34" s="1">
        <v>39</v>
      </c>
      <c r="U34">
        <v>0.32172083235913024</v>
      </c>
      <c r="V34">
        <v>0.3265442870105395</v>
      </c>
      <c r="Y34">
        <v>2532</v>
      </c>
      <c r="Z34">
        <v>1423</v>
      </c>
      <c r="AA34">
        <v>4613</v>
      </c>
      <c r="AB34">
        <f t="shared" si="2"/>
        <v>0.54888358985475827</v>
      </c>
      <c r="AC34">
        <f t="shared" si="3"/>
        <v>0.58391046475594732</v>
      </c>
      <c r="AD34">
        <v>40</v>
      </c>
      <c r="AE34">
        <f t="shared" si="4"/>
        <v>0.30847604595707784</v>
      </c>
      <c r="AF34">
        <f t="shared" si="5"/>
        <v>0.32816137099040799</v>
      </c>
    </row>
    <row r="35" spans="2:32" x14ac:dyDescent="0.15">
      <c r="O35" s="1">
        <v>2498</v>
      </c>
      <c r="P35" s="1">
        <v>1370</v>
      </c>
      <c r="Q35" s="1">
        <v>4357</v>
      </c>
      <c r="R35" s="1">
        <v>0.57333027312370899</v>
      </c>
      <c r="S35" s="1">
        <v>0.59281077685488937</v>
      </c>
      <c r="T35" s="1">
        <v>40</v>
      </c>
      <c r="U35">
        <v>0.31443653890291484</v>
      </c>
      <c r="V35">
        <v>0.32512040203810982</v>
      </c>
    </row>
    <row r="36" spans="2:32" x14ac:dyDescent="0.15">
      <c r="D36">
        <f>AVERAGE(D3:D34)</f>
        <v>4205.03125</v>
      </c>
      <c r="O36" s="1">
        <v>2557</v>
      </c>
      <c r="P36" s="1">
        <v>1343</v>
      </c>
      <c r="Q36" s="1">
        <v>4307</v>
      </c>
      <c r="R36" s="1">
        <v>0.59368469932667756</v>
      </c>
      <c r="S36" s="1">
        <v>0.60681231241711453</v>
      </c>
      <c r="T36" s="1">
        <v>41</v>
      </c>
      <c r="U36">
        <v>0.31181797074529838</v>
      </c>
      <c r="V36">
        <v>0.3187129196621763</v>
      </c>
      <c r="AA36">
        <f>AVERAGE(AA3:AA34)</f>
        <v>4336.28125</v>
      </c>
    </row>
    <row r="38" spans="2:32" x14ac:dyDescent="0.15">
      <c r="Q38">
        <f>AVERAGE(Q3:Q36)</f>
        <v>4213.8235294117649</v>
      </c>
    </row>
    <row r="57" spans="4:4" x14ac:dyDescent="0.15">
      <c r="D57" s="1"/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76F2-C005-B24D-867F-1EDBD5406AC1}">
  <dimension ref="A1:L151"/>
  <sheetViews>
    <sheetView topLeftCell="A100" workbookViewId="0">
      <selection activeCell="G126" sqref="G126"/>
    </sheetView>
  </sheetViews>
  <sheetFormatPr baseColWidth="10" defaultRowHeight="13" x14ac:dyDescent="0.15"/>
  <sheetData>
    <row r="1" spans="1:11" x14ac:dyDescent="0.15">
      <c r="A1" t="s">
        <v>15</v>
      </c>
      <c r="B1" s="4" t="s">
        <v>42</v>
      </c>
      <c r="C1" s="4" t="s">
        <v>43</v>
      </c>
      <c r="D1" s="4" t="s">
        <v>44</v>
      </c>
      <c r="F1" s="4" t="s">
        <v>45</v>
      </c>
    </row>
    <row r="2" spans="1:11" x14ac:dyDescent="0.15">
      <c r="B2" t="s">
        <v>20</v>
      </c>
      <c r="C2" t="s">
        <v>21</v>
      </c>
      <c r="D2" t="s">
        <v>23</v>
      </c>
      <c r="E2" t="s">
        <v>18</v>
      </c>
      <c r="F2" t="s">
        <v>16</v>
      </c>
      <c r="H2" t="s">
        <v>17</v>
      </c>
      <c r="I2" t="s">
        <v>19</v>
      </c>
    </row>
    <row r="3" spans="1:11" x14ac:dyDescent="0.15">
      <c r="B3">
        <v>165</v>
      </c>
      <c r="C3">
        <v>159</v>
      </c>
      <c r="D3">
        <v>4113</v>
      </c>
      <c r="E3">
        <v>4.0116703136396793E-2</v>
      </c>
      <c r="F3">
        <v>3.9156836741816151E-2</v>
      </c>
      <c r="G3">
        <v>2</v>
      </c>
      <c r="H3">
        <v>3.8657913931436909E-2</v>
      </c>
      <c r="I3">
        <v>3.7732951769386472E-2</v>
      </c>
    </row>
    <row r="4" spans="1:11" x14ac:dyDescent="0.15">
      <c r="B4">
        <v>335</v>
      </c>
      <c r="C4">
        <v>261</v>
      </c>
      <c r="D4">
        <v>4084</v>
      </c>
      <c r="E4">
        <v>8.202742409402547E-2</v>
      </c>
      <c r="F4">
        <v>7.9500244293990371E-2</v>
      </c>
      <c r="G4">
        <v>3</v>
      </c>
      <c r="H4">
        <v>6.3907933398628797E-2</v>
      </c>
      <c r="I4">
        <v>6.1938996300691003E-2</v>
      </c>
    </row>
    <row r="5" spans="1:11" x14ac:dyDescent="0.15">
      <c r="B5">
        <v>524</v>
      </c>
      <c r="C5">
        <v>344</v>
      </c>
      <c r="D5">
        <v>3972</v>
      </c>
      <c r="E5">
        <v>0.13192346424974824</v>
      </c>
      <c r="F5">
        <v>0.12435262092552522</v>
      </c>
      <c r="G5">
        <v>4</v>
      </c>
      <c r="H5">
        <v>8.6606243705941596E-2</v>
      </c>
      <c r="I5">
        <v>8.1636071752634876E-2</v>
      </c>
    </row>
    <row r="6" spans="1:11" x14ac:dyDescent="0.15">
      <c r="B6">
        <v>595</v>
      </c>
      <c r="C6">
        <v>372</v>
      </c>
      <c r="D6">
        <v>3992</v>
      </c>
      <c r="E6">
        <v>0.14904809619238477</v>
      </c>
      <c r="F6">
        <v>0.14120192643260976</v>
      </c>
      <c r="G6">
        <v>5</v>
      </c>
      <c r="H6">
        <v>9.3186372745490978E-2</v>
      </c>
      <c r="I6">
        <v>8.8280868290640052E-2</v>
      </c>
    </row>
    <row r="7" spans="1:11" x14ac:dyDescent="0.15">
      <c r="B7" s="6">
        <v>794</v>
      </c>
      <c r="C7" s="6"/>
      <c r="D7" s="6">
        <v>4213.8235294117649</v>
      </c>
      <c r="E7" s="7">
        <f>0.0144*4+0.1309</f>
        <v>0.1885</v>
      </c>
      <c r="F7" s="6">
        <f>0.0153*4+0.1191</f>
        <v>0.18029999999999999</v>
      </c>
      <c r="G7" s="6">
        <v>6</v>
      </c>
      <c r="H7" s="6">
        <f>-0.0004*4^2 + 0.021*4 + 0.0323</f>
        <v>0.1099</v>
      </c>
      <c r="I7" s="6">
        <f>-0.0004*4^2 + 0.0214*4 + 0.0256</f>
        <v>0.10479999999999999</v>
      </c>
      <c r="K7" s="4"/>
    </row>
    <row r="8" spans="1:11" x14ac:dyDescent="0.15">
      <c r="B8" s="6">
        <v>854</v>
      </c>
      <c r="C8" s="6"/>
      <c r="D8" s="6">
        <v>4213.8235294117649</v>
      </c>
      <c r="E8" s="6">
        <f>0.0144*5+0.1309</f>
        <v>0.20289999999999997</v>
      </c>
      <c r="F8" s="6">
        <f>0.0153*5+0.1191</f>
        <v>0.1956</v>
      </c>
      <c r="G8" s="6">
        <v>7</v>
      </c>
      <c r="H8" s="6">
        <f>-0.0004*5^2 + 0.021*5 + 0.0323</f>
        <v>0.12730000000000002</v>
      </c>
      <c r="I8" s="6">
        <f>-0.0004*5^2 + 0.0214*5 + 0.0256</f>
        <v>0.1226</v>
      </c>
    </row>
    <row r="9" spans="1:11" x14ac:dyDescent="0.15">
      <c r="B9">
        <v>920</v>
      </c>
      <c r="C9">
        <v>635</v>
      </c>
      <c r="D9">
        <v>4072</v>
      </c>
      <c r="E9">
        <v>0.22593320235756384</v>
      </c>
      <c r="F9">
        <v>0.21832902910588398</v>
      </c>
      <c r="G9">
        <v>8</v>
      </c>
      <c r="H9">
        <v>0.15594302554027506</v>
      </c>
      <c r="I9">
        <v>0.15069449291547427</v>
      </c>
    </row>
    <row r="10" spans="1:11" x14ac:dyDescent="0.15">
      <c r="B10">
        <v>984</v>
      </c>
      <c r="C10">
        <v>613</v>
      </c>
      <c r="D10">
        <v>4190</v>
      </c>
      <c r="E10">
        <v>0.23484486873508353</v>
      </c>
      <c r="F10">
        <v>0.23351713547846722</v>
      </c>
      <c r="G10">
        <v>9</v>
      </c>
      <c r="H10">
        <v>0.14630071599045347</v>
      </c>
      <c r="I10">
        <v>0.1454735813498988</v>
      </c>
    </row>
    <row r="11" spans="1:11" x14ac:dyDescent="0.15">
      <c r="B11">
        <v>1021</v>
      </c>
      <c r="C11">
        <v>738</v>
      </c>
      <c r="D11">
        <v>3980</v>
      </c>
      <c r="E11">
        <v>0.25653266331658292</v>
      </c>
      <c r="F11">
        <v>0.24229775947511689</v>
      </c>
      <c r="G11">
        <v>10</v>
      </c>
      <c r="H11">
        <v>0.18542713567839195</v>
      </c>
      <c r="I11">
        <v>0.17513785160885043</v>
      </c>
    </row>
    <row r="12" spans="1:11" x14ac:dyDescent="0.15">
      <c r="B12">
        <v>1080</v>
      </c>
      <c r="C12">
        <v>741</v>
      </c>
      <c r="D12">
        <v>3998</v>
      </c>
      <c r="E12">
        <v>0.27013506753376687</v>
      </c>
      <c r="F12">
        <v>0.25629929503734206</v>
      </c>
      <c r="G12">
        <v>11</v>
      </c>
      <c r="H12">
        <v>0.18534267133566784</v>
      </c>
      <c r="I12">
        <v>0.17584979409506526</v>
      </c>
    </row>
    <row r="13" spans="1:11" x14ac:dyDescent="0.15">
      <c r="B13">
        <v>1142</v>
      </c>
      <c r="C13">
        <v>781</v>
      </c>
      <c r="D13">
        <v>3937</v>
      </c>
      <c r="E13">
        <v>0.29006858013716025</v>
      </c>
      <c r="F13">
        <v>0.27101277308578209</v>
      </c>
      <c r="G13">
        <v>12</v>
      </c>
      <c r="H13">
        <v>0.19837439674879351</v>
      </c>
      <c r="I13">
        <v>0.18534236057792977</v>
      </c>
    </row>
    <row r="14" spans="1:11" x14ac:dyDescent="0.15">
      <c r="B14">
        <v>1238</v>
      </c>
      <c r="C14">
        <v>858</v>
      </c>
      <c r="D14">
        <v>4143</v>
      </c>
      <c r="E14">
        <v>0.29881728216268405</v>
      </c>
      <c r="F14">
        <v>0.29379493264465695</v>
      </c>
      <c r="G14">
        <v>13</v>
      </c>
      <c r="H14">
        <v>0.20709630702389573</v>
      </c>
      <c r="I14">
        <v>0.20361555105744397</v>
      </c>
    </row>
    <row r="15" spans="1:11" x14ac:dyDescent="0.15">
      <c r="B15">
        <v>1375</v>
      </c>
      <c r="C15">
        <v>868</v>
      </c>
      <c r="D15">
        <v>4023</v>
      </c>
      <c r="E15">
        <v>0.34178473775789214</v>
      </c>
      <c r="F15">
        <v>0.32630697284846794</v>
      </c>
      <c r="G15">
        <v>14</v>
      </c>
      <c r="H15">
        <v>0.21575938354461843</v>
      </c>
      <c r="I15">
        <v>0.20598869267816011</v>
      </c>
    </row>
    <row r="16" spans="1:11" x14ac:dyDescent="0.15">
      <c r="B16">
        <v>1374</v>
      </c>
      <c r="C16">
        <v>959</v>
      </c>
      <c r="D16">
        <v>4152</v>
      </c>
      <c r="E16">
        <v>0.33092485549132949</v>
      </c>
      <c r="F16">
        <v>0.32606965868639631</v>
      </c>
      <c r="G16">
        <v>15</v>
      </c>
      <c r="H16">
        <v>0.23097302504816955</v>
      </c>
      <c r="I16">
        <v>0.22758428142667689</v>
      </c>
    </row>
    <row r="17" spans="2:9" x14ac:dyDescent="0.15">
      <c r="B17">
        <v>1407</v>
      </c>
      <c r="C17">
        <v>1006</v>
      </c>
      <c r="D17">
        <v>4243</v>
      </c>
      <c r="E17">
        <v>0.33160499646476549</v>
      </c>
      <c r="F17">
        <v>0.33390102603475952</v>
      </c>
      <c r="G17">
        <v>16</v>
      </c>
      <c r="H17">
        <v>0.23709639406080604</v>
      </c>
      <c r="I17">
        <v>0.23873804704404269</v>
      </c>
    </row>
    <row r="18" spans="2:9" x14ac:dyDescent="0.15">
      <c r="B18">
        <v>1504</v>
      </c>
      <c r="C18">
        <v>1029</v>
      </c>
      <c r="D18">
        <v>4486</v>
      </c>
      <c r="E18">
        <v>0.33526526972804283</v>
      </c>
      <c r="F18">
        <v>0.356920499755706</v>
      </c>
      <c r="G18">
        <v>17</v>
      </c>
      <c r="H18">
        <v>0.22938029424877396</v>
      </c>
      <c r="I18">
        <v>0.24419627277168982</v>
      </c>
    </row>
    <row r="19" spans="2:9" x14ac:dyDescent="0.15">
      <c r="B19" s="6">
        <v>1522</v>
      </c>
      <c r="C19" s="6"/>
      <c r="D19" s="6">
        <v>4213.8235294117649</v>
      </c>
      <c r="E19" s="6">
        <f>0.0144*16+0.1309</f>
        <v>0.36129999999999995</v>
      </c>
      <c r="F19" s="6">
        <f>0.0153*16+0.1191</f>
        <v>0.3639</v>
      </c>
      <c r="G19" s="6">
        <v>18</v>
      </c>
      <c r="H19" s="6">
        <f>-0.0004*14^2 + 0.021*14 + 0.0323</f>
        <v>0.24790000000000004</v>
      </c>
      <c r="I19" s="6">
        <f>-0.0004*14^2 + 0.0214*14 + 0.0256</f>
        <v>0.24679999999999999</v>
      </c>
    </row>
    <row r="20" spans="2:9" x14ac:dyDescent="0.15">
      <c r="B20" s="6">
        <v>1582</v>
      </c>
      <c r="C20" s="6"/>
      <c r="D20" s="6">
        <v>4213.8235294117649</v>
      </c>
      <c r="E20" s="6">
        <f>0.0144*17+0.1309</f>
        <v>0.37569999999999998</v>
      </c>
      <c r="F20" s="6">
        <f>0.0153*17+0.1191</f>
        <v>0.37919999999999998</v>
      </c>
      <c r="G20" s="6">
        <v>19</v>
      </c>
      <c r="H20" s="6">
        <f>-0.0004*15^2 + 0.021*15 + 0.0323</f>
        <v>0.25729999999999997</v>
      </c>
      <c r="I20" s="6">
        <f>-0.0004*15^2 + 0.0214*15 + 0.0256</f>
        <v>0.25659999999999999</v>
      </c>
    </row>
    <row r="21" spans="2:9" x14ac:dyDescent="0.15">
      <c r="B21">
        <v>1659</v>
      </c>
      <c r="C21">
        <v>1184</v>
      </c>
      <c r="D21">
        <v>4289</v>
      </c>
      <c r="E21">
        <v>0.38680345068780603</v>
      </c>
      <c r="F21">
        <v>0.39370419487680602</v>
      </c>
      <c r="G21">
        <v>20</v>
      </c>
      <c r="H21">
        <v>0.27605502448123104</v>
      </c>
      <c r="I21">
        <v>0.28097996789278984</v>
      </c>
    </row>
    <row r="22" spans="2:9" x14ac:dyDescent="0.15">
      <c r="B22">
        <v>1697</v>
      </c>
      <c r="C22">
        <v>1101</v>
      </c>
      <c r="D22">
        <v>4335</v>
      </c>
      <c r="E22">
        <v>0.39146482122260667</v>
      </c>
      <c r="F22">
        <v>0.40272213303552729</v>
      </c>
      <c r="G22">
        <v>21</v>
      </c>
      <c r="H22">
        <v>0.25397923875432526</v>
      </c>
      <c r="I22">
        <v>0.26128289244084596</v>
      </c>
    </row>
    <row r="23" spans="2:9" x14ac:dyDescent="0.15">
      <c r="B23">
        <v>1689</v>
      </c>
      <c r="C23">
        <v>1243</v>
      </c>
      <c r="D23">
        <v>4194</v>
      </c>
      <c r="E23">
        <v>0.40271816881258943</v>
      </c>
      <c r="F23">
        <v>0.40082361973895442</v>
      </c>
      <c r="G23">
        <v>22</v>
      </c>
      <c r="H23">
        <v>0.29637577491654743</v>
      </c>
      <c r="I23">
        <v>0.294981503455015</v>
      </c>
    </row>
    <row r="24" spans="2:9" x14ac:dyDescent="0.15">
      <c r="B24">
        <v>1711</v>
      </c>
      <c r="C24">
        <v>1212</v>
      </c>
      <c r="D24">
        <v>4175</v>
      </c>
      <c r="E24">
        <v>0.40982035928143712</v>
      </c>
      <c r="F24">
        <v>0.40604453130452989</v>
      </c>
      <c r="G24">
        <v>23</v>
      </c>
      <c r="H24">
        <v>0.29029940119760478</v>
      </c>
      <c r="I24">
        <v>0.28762476443079499</v>
      </c>
    </row>
    <row r="25" spans="2:9" x14ac:dyDescent="0.15">
      <c r="B25">
        <v>1807</v>
      </c>
      <c r="C25">
        <v>1234</v>
      </c>
      <c r="D25">
        <v>4277</v>
      </c>
      <c r="E25">
        <v>0.42249240121580545</v>
      </c>
      <c r="F25">
        <v>0.42882669086340475</v>
      </c>
      <c r="G25">
        <v>24</v>
      </c>
      <c r="H25">
        <v>0.28851999064765022</v>
      </c>
      <c r="I25">
        <v>0.29284567599637046</v>
      </c>
    </row>
    <row r="26" spans="2:9" x14ac:dyDescent="0.15">
      <c r="B26">
        <v>1867</v>
      </c>
      <c r="C26">
        <v>1286</v>
      </c>
      <c r="D26">
        <v>4265</v>
      </c>
      <c r="E26">
        <v>0.4377491207502931</v>
      </c>
      <c r="F26">
        <v>0.44306554058770153</v>
      </c>
      <c r="G26">
        <v>25</v>
      </c>
      <c r="H26">
        <v>0.30152403282532242</v>
      </c>
      <c r="I26">
        <v>0.30518601242409438</v>
      </c>
    </row>
    <row r="27" spans="2:9" x14ac:dyDescent="0.15">
      <c r="B27">
        <v>1873</v>
      </c>
      <c r="C27">
        <v>1262</v>
      </c>
      <c r="D27">
        <v>4337</v>
      </c>
      <c r="E27">
        <v>0.43186534470832372</v>
      </c>
      <c r="F27">
        <v>0.44448942556013121</v>
      </c>
      <c r="G27">
        <v>26</v>
      </c>
      <c r="H27">
        <v>0.29098455153331798</v>
      </c>
      <c r="I27">
        <v>0.29949047253437566</v>
      </c>
    </row>
    <row r="28" spans="2:9" x14ac:dyDescent="0.15">
      <c r="B28">
        <v>1959</v>
      </c>
      <c r="C28">
        <v>1300</v>
      </c>
      <c r="D28">
        <v>4267</v>
      </c>
      <c r="E28">
        <v>0.45910475744082496</v>
      </c>
      <c r="F28">
        <v>0.4648984434982899</v>
      </c>
      <c r="G28">
        <v>27</v>
      </c>
      <c r="H28">
        <v>0.30466369814858213</v>
      </c>
      <c r="I28">
        <v>0.30850841069309692</v>
      </c>
    </row>
    <row r="29" spans="2:9" x14ac:dyDescent="0.15">
      <c r="B29">
        <v>1992</v>
      </c>
      <c r="C29">
        <v>1323</v>
      </c>
      <c r="D29">
        <v>4097</v>
      </c>
      <c r="E29">
        <v>0.48620942152794727</v>
      </c>
      <c r="F29">
        <v>0.47272981084665316</v>
      </c>
      <c r="G29">
        <v>28</v>
      </c>
      <c r="H29">
        <v>0.32291920917744693</v>
      </c>
      <c r="I29">
        <v>0.31396663642074402</v>
      </c>
    </row>
    <row r="30" spans="2:9" x14ac:dyDescent="0.15">
      <c r="B30">
        <v>2037</v>
      </c>
      <c r="C30">
        <v>1339</v>
      </c>
      <c r="D30">
        <v>4275</v>
      </c>
      <c r="E30">
        <v>0.47649122807017547</v>
      </c>
      <c r="F30">
        <v>0.48340894813987573</v>
      </c>
      <c r="G30">
        <v>29</v>
      </c>
      <c r="H30">
        <v>0.31321637426900584</v>
      </c>
      <c r="I30">
        <v>0.31776366301388986</v>
      </c>
    </row>
    <row r="31" spans="2:9" x14ac:dyDescent="0.15">
      <c r="B31" s="6">
        <v>2068</v>
      </c>
      <c r="C31" s="6"/>
      <c r="D31" s="6">
        <v>4213.8235294117649</v>
      </c>
      <c r="E31" s="6">
        <f>0.0144*25+0.1309</f>
        <v>0.4909</v>
      </c>
      <c r="F31" s="6">
        <f>0.0153*25+0.1191</f>
        <v>0.50160000000000005</v>
      </c>
      <c r="G31" s="6">
        <v>30</v>
      </c>
      <c r="H31" s="6">
        <f>-0.0004*24^2 + 0.021*24 + 0.0323</f>
        <v>0.30589999999999995</v>
      </c>
      <c r="I31" s="6">
        <f>-0.0004*24^2 + 0.0214*24 + 0.0256</f>
        <v>0.30879999999999991</v>
      </c>
    </row>
    <row r="32" spans="2:9" x14ac:dyDescent="0.15">
      <c r="B32" s="6">
        <v>2128</v>
      </c>
      <c r="C32" s="6"/>
      <c r="D32" s="6">
        <v>4213.8235294117649</v>
      </c>
      <c r="E32" s="6">
        <f>0.0144*26+0.1309</f>
        <v>0.50529999999999997</v>
      </c>
      <c r="F32" s="6">
        <f>0.0153*26+0.1191</f>
        <v>0.51690000000000003</v>
      </c>
      <c r="G32" s="6">
        <v>31</v>
      </c>
      <c r="H32" s="6">
        <f>-0.0004*25^2 + 0.021*25 + 0.0323</f>
        <v>0.30730000000000002</v>
      </c>
      <c r="I32" s="6">
        <f>-0.0004*25^2 + 0.0214*25 + 0.0256</f>
        <v>0.31059999999999993</v>
      </c>
    </row>
    <row r="33" spans="1:9" x14ac:dyDescent="0.15">
      <c r="B33">
        <v>2168</v>
      </c>
      <c r="C33">
        <v>1390</v>
      </c>
      <c r="D33">
        <v>4284</v>
      </c>
      <c r="E33">
        <v>0.5060690943043884</v>
      </c>
      <c r="F33">
        <v>0.51449710337125709</v>
      </c>
      <c r="G33">
        <v>32</v>
      </c>
      <c r="H33">
        <v>0.32446311858076565</v>
      </c>
      <c r="I33">
        <v>0.3298666852795421</v>
      </c>
    </row>
    <row r="34" spans="1:9" x14ac:dyDescent="0.15">
      <c r="B34">
        <v>2199</v>
      </c>
      <c r="C34">
        <v>1367</v>
      </c>
      <c r="D34">
        <v>4319</v>
      </c>
      <c r="E34">
        <v>0.50914563556378789</v>
      </c>
      <c r="F34">
        <v>0.52185384239547705</v>
      </c>
      <c r="G34">
        <v>33</v>
      </c>
      <c r="H34">
        <v>0.31650845103033109</v>
      </c>
      <c r="I34">
        <v>0.32440845955189501</v>
      </c>
    </row>
    <row r="35" spans="1:9" x14ac:dyDescent="0.15">
      <c r="B35">
        <v>2279</v>
      </c>
      <c r="C35">
        <v>1421</v>
      </c>
      <c r="D35">
        <v>4388</v>
      </c>
      <c r="E35">
        <v>0.51937101185050139</v>
      </c>
      <c r="F35">
        <v>0.54083897536120606</v>
      </c>
      <c r="G35">
        <v>34</v>
      </c>
      <c r="H35">
        <v>0.32383773928896992</v>
      </c>
      <c r="I35">
        <v>0.33722342430376212</v>
      </c>
    </row>
    <row r="36" spans="1:9" x14ac:dyDescent="0.15">
      <c r="B36">
        <v>2323</v>
      </c>
      <c r="C36">
        <v>1391</v>
      </c>
      <c r="D36">
        <v>4346</v>
      </c>
      <c r="E36">
        <v>0.53451449608835711</v>
      </c>
      <c r="F36">
        <v>0.55128079849235712</v>
      </c>
      <c r="G36">
        <v>35</v>
      </c>
      <c r="H36">
        <v>0.32006442705936494</v>
      </c>
      <c r="I36">
        <v>0.33010399944161373</v>
      </c>
    </row>
    <row r="37" spans="1:9" x14ac:dyDescent="0.15">
      <c r="B37">
        <v>2325</v>
      </c>
      <c r="C37">
        <v>1400</v>
      </c>
      <c r="D37">
        <v>4352</v>
      </c>
      <c r="E37">
        <v>0.53423713235294112</v>
      </c>
      <c r="F37">
        <v>0.55175542681650025</v>
      </c>
      <c r="G37">
        <v>36</v>
      </c>
      <c r="H37">
        <v>0.32169117647058826</v>
      </c>
      <c r="I37">
        <v>0.33223982690025822</v>
      </c>
    </row>
    <row r="38" spans="1:9" x14ac:dyDescent="0.15">
      <c r="B38">
        <v>2318</v>
      </c>
      <c r="C38">
        <v>1388</v>
      </c>
      <c r="D38">
        <v>4377</v>
      </c>
      <c r="E38">
        <v>0.52958647475439802</v>
      </c>
      <c r="F38">
        <v>0.550094227681999</v>
      </c>
      <c r="G38">
        <v>37</v>
      </c>
      <c r="H38">
        <v>0.31711217729038155</v>
      </c>
      <c r="I38">
        <v>0.32939205695539886</v>
      </c>
    </row>
    <row r="39" spans="1:9" x14ac:dyDescent="0.15">
      <c r="B39">
        <v>2418</v>
      </c>
      <c r="C39">
        <v>1403</v>
      </c>
      <c r="D39">
        <v>4367</v>
      </c>
      <c r="E39">
        <v>0.55369819097778794</v>
      </c>
      <c r="F39">
        <v>0.57382564388916035</v>
      </c>
      <c r="G39">
        <v>38</v>
      </c>
      <c r="H39">
        <v>0.32127318525303411</v>
      </c>
      <c r="I39">
        <v>0.33295176938647308</v>
      </c>
    </row>
    <row r="40" spans="1:9" x14ac:dyDescent="0.15">
      <c r="B40">
        <v>2420</v>
      </c>
      <c r="C40">
        <v>1376</v>
      </c>
      <c r="D40">
        <v>4277</v>
      </c>
      <c r="E40">
        <v>0.56581716156184236</v>
      </c>
      <c r="F40">
        <v>0.57430027221330349</v>
      </c>
      <c r="G40">
        <v>39</v>
      </c>
      <c r="H40">
        <v>0.32172083235913024</v>
      </c>
      <c r="I40">
        <v>0.3265442870105395</v>
      </c>
    </row>
    <row r="41" spans="1:9" x14ac:dyDescent="0.15">
      <c r="B41">
        <v>2498</v>
      </c>
      <c r="C41">
        <v>1370</v>
      </c>
      <c r="D41">
        <v>4357</v>
      </c>
      <c r="E41">
        <v>0.57333027312370899</v>
      </c>
      <c r="F41">
        <v>0.59281077685488937</v>
      </c>
      <c r="G41">
        <v>40</v>
      </c>
      <c r="H41">
        <v>0.31443653890291484</v>
      </c>
      <c r="I41">
        <v>0.32512040203810982</v>
      </c>
    </row>
    <row r="42" spans="1:9" x14ac:dyDescent="0.15">
      <c r="B42">
        <v>2557</v>
      </c>
      <c r="C42">
        <v>1343</v>
      </c>
      <c r="D42">
        <v>4307</v>
      </c>
      <c r="E42">
        <v>0.59368469932667756</v>
      </c>
      <c r="F42">
        <v>0.60681231241711453</v>
      </c>
      <c r="G42">
        <v>41</v>
      </c>
      <c r="H42">
        <v>0.31181797074529838</v>
      </c>
      <c r="I42">
        <v>0.3187129196621763</v>
      </c>
    </row>
    <row r="44" spans="1:9" x14ac:dyDescent="0.15">
      <c r="D44">
        <v>4213.8235294117649</v>
      </c>
    </row>
    <row r="48" spans="1:9" x14ac:dyDescent="0.15">
      <c r="A48" t="s">
        <v>14</v>
      </c>
      <c r="H48" t="s">
        <v>17</v>
      </c>
      <c r="I48" t="s">
        <v>19</v>
      </c>
    </row>
    <row r="49" spans="2:9" x14ac:dyDescent="0.15">
      <c r="B49" t="s">
        <v>20</v>
      </c>
      <c r="C49" t="s">
        <v>21</v>
      </c>
      <c r="D49" t="s">
        <v>22</v>
      </c>
      <c r="E49" t="s">
        <v>18</v>
      </c>
      <c r="F49" t="s">
        <v>16</v>
      </c>
    </row>
    <row r="50" spans="2:9" x14ac:dyDescent="0.15">
      <c r="B50">
        <v>455</v>
      </c>
      <c r="C50">
        <v>307</v>
      </c>
      <c r="D50">
        <v>4000</v>
      </c>
      <c r="E50">
        <v>0.11375</v>
      </c>
      <c r="F50">
        <v>0.10820371430057743</v>
      </c>
      <c r="G50">
        <v>3</v>
      </c>
      <c r="H50">
        <v>7.6749999999999999E-2</v>
      </c>
      <c r="I50">
        <v>7.3007780857752252E-2</v>
      </c>
    </row>
    <row r="51" spans="2:9" x14ac:dyDescent="0.15">
      <c r="B51">
        <v>546</v>
      </c>
      <c r="C51">
        <v>398</v>
      </c>
      <c r="D51">
        <v>3965</v>
      </c>
      <c r="E51">
        <v>0.13770491803278689</v>
      </c>
      <c r="F51">
        <v>0.12984445716069293</v>
      </c>
      <c r="G51">
        <v>4</v>
      </c>
      <c r="H51">
        <v>0.10037831021437579</v>
      </c>
      <c r="I51">
        <v>9.4648523717867736E-2</v>
      </c>
    </row>
    <row r="52" spans="2:9" x14ac:dyDescent="0.15">
      <c r="B52">
        <v>690</v>
      </c>
      <c r="C52">
        <v>452</v>
      </c>
      <c r="D52">
        <v>3905</v>
      </c>
      <c r="E52">
        <v>0.17669654289372599</v>
      </c>
      <c r="F52">
        <v>0.16408914915911743</v>
      </c>
      <c r="G52">
        <v>5</v>
      </c>
      <c r="H52">
        <v>0.11574903969270166</v>
      </c>
      <c r="I52">
        <v>0.10749028321727692</v>
      </c>
    </row>
    <row r="53" spans="2:9" x14ac:dyDescent="0.15">
      <c r="B53">
        <v>744</v>
      </c>
      <c r="C53">
        <v>555</v>
      </c>
      <c r="D53">
        <v>3271</v>
      </c>
      <c r="E53">
        <v>0.22745337817181291</v>
      </c>
      <c r="F53">
        <v>0.17693090865852662</v>
      </c>
      <c r="G53">
        <v>6</v>
      </c>
      <c r="H53">
        <v>0.16967288291042495</v>
      </c>
      <c r="I53">
        <v>0.13198475041059446</v>
      </c>
    </row>
    <row r="54" spans="2:9" x14ac:dyDescent="0.15">
      <c r="B54">
        <v>1016</v>
      </c>
      <c r="C54">
        <v>711</v>
      </c>
      <c r="D54">
        <v>3978</v>
      </c>
      <c r="E54">
        <v>0.25540472599296127</v>
      </c>
      <c r="F54">
        <v>0.2416153268777729</v>
      </c>
      <c r="G54">
        <v>7</v>
      </c>
      <c r="H54">
        <v>0.17873303167420815</v>
      </c>
      <c r="I54">
        <v>0.16908316674222101</v>
      </c>
    </row>
    <row r="55" spans="2:9" x14ac:dyDescent="0.15">
      <c r="B55">
        <v>1062</v>
      </c>
      <c r="C55">
        <v>788</v>
      </c>
      <c r="D55">
        <v>3993</v>
      </c>
      <c r="E55">
        <v>0.26596543951915852</v>
      </c>
      <c r="F55">
        <v>0.25255460348838071</v>
      </c>
      <c r="G55">
        <v>8</v>
      </c>
      <c r="H55">
        <v>0.19734535437014775</v>
      </c>
      <c r="I55">
        <v>0.18739456454693409</v>
      </c>
    </row>
    <row r="56" spans="2:9" x14ac:dyDescent="0.15">
      <c r="B56">
        <v>1104</v>
      </c>
      <c r="C56">
        <v>806</v>
      </c>
      <c r="D56">
        <v>3967</v>
      </c>
      <c r="E56">
        <v>0.27829594151751952</v>
      </c>
      <c r="F56">
        <v>0.26254263865458788</v>
      </c>
      <c r="G56">
        <v>9</v>
      </c>
      <c r="H56">
        <v>0.20317620368036299</v>
      </c>
      <c r="I56">
        <v>0.19167515104673716</v>
      </c>
    </row>
    <row r="57" spans="2:9" x14ac:dyDescent="0.15">
      <c r="B57">
        <v>1208</v>
      </c>
      <c r="C57">
        <v>872</v>
      </c>
      <c r="D57">
        <v>4183</v>
      </c>
      <c r="E57">
        <v>0.28878795123117379</v>
      </c>
      <c r="F57">
        <v>0.28727491620900558</v>
      </c>
      <c r="G57">
        <v>10</v>
      </c>
      <c r="H57">
        <v>0.20846282572316518</v>
      </c>
      <c r="I57">
        <v>0.2073706348793484</v>
      </c>
    </row>
    <row r="58" spans="2:9" x14ac:dyDescent="0.15">
      <c r="B58">
        <v>1282</v>
      </c>
      <c r="C58">
        <v>878</v>
      </c>
      <c r="D58">
        <v>4174</v>
      </c>
      <c r="E58">
        <v>0.30713943459511261</v>
      </c>
      <c r="F58">
        <v>0.3048728829304182</v>
      </c>
      <c r="G58">
        <v>11</v>
      </c>
      <c r="H58">
        <v>0.21034978437949209</v>
      </c>
      <c r="I58">
        <v>0.20879749704594941</v>
      </c>
    </row>
    <row r="59" spans="2:9" x14ac:dyDescent="0.15">
      <c r="B59">
        <v>1304</v>
      </c>
      <c r="C59">
        <v>957</v>
      </c>
      <c r="D59">
        <v>4233</v>
      </c>
      <c r="E59">
        <v>0.3080557524214505</v>
      </c>
      <c r="F59">
        <v>0.31010471087462194</v>
      </c>
      <c r="G59">
        <v>12</v>
      </c>
      <c r="H59">
        <v>0.22608079376328843</v>
      </c>
      <c r="I59">
        <v>0.22758451557286286</v>
      </c>
    </row>
    <row r="60" spans="2:9" x14ac:dyDescent="0.15">
      <c r="B60">
        <v>1369</v>
      </c>
      <c r="C60">
        <v>1072</v>
      </c>
      <c r="D60">
        <v>4162</v>
      </c>
      <c r="E60">
        <v>0.32892839980778471</v>
      </c>
      <c r="F60">
        <v>0.32556238434613299</v>
      </c>
      <c r="G60">
        <v>13</v>
      </c>
      <c r="H60">
        <v>0.25756847669389715</v>
      </c>
      <c r="I60">
        <v>0.25493270709938243</v>
      </c>
    </row>
    <row r="61" spans="2:9" x14ac:dyDescent="0.15">
      <c r="B61">
        <v>1450</v>
      </c>
      <c r="C61">
        <v>1133</v>
      </c>
      <c r="D61">
        <v>4074</v>
      </c>
      <c r="E61">
        <v>0.35591556210112912</v>
      </c>
      <c r="F61">
        <v>0.34482502359524675</v>
      </c>
      <c r="G61">
        <v>14</v>
      </c>
      <c r="H61">
        <v>0.27810505645557193</v>
      </c>
      <c r="I61">
        <v>0.26943913912649281</v>
      </c>
    </row>
    <row r="62" spans="2:9" x14ac:dyDescent="0.15">
      <c r="B62" s="6">
        <v>1503</v>
      </c>
      <c r="C62" s="6"/>
      <c r="D62" s="6">
        <v>4205.03125</v>
      </c>
      <c r="E62" s="7">
        <f>0.013*14+0.1755</f>
        <v>0.35749999999999998</v>
      </c>
      <c r="F62" s="6">
        <f>0.0141*14+0.162</f>
        <v>0.3594</v>
      </c>
      <c r="G62" s="6">
        <v>15</v>
      </c>
      <c r="H62" s="6">
        <f>-0.0004*13^2+0.0212*13+ 0.0715</f>
        <v>0.27950000000000003</v>
      </c>
      <c r="I62" s="6">
        <f>-0.0005*13^2 + 0.024*13 + 0.0501</f>
        <v>0.27759999999999996</v>
      </c>
    </row>
    <row r="63" spans="2:9" x14ac:dyDescent="0.15">
      <c r="B63" s="6">
        <v>1558</v>
      </c>
      <c r="C63" s="6"/>
      <c r="D63" s="6">
        <v>4205.03125</v>
      </c>
      <c r="E63" s="6">
        <f>0.013*15+0.1755</f>
        <v>0.37049999999999994</v>
      </c>
      <c r="F63" s="6">
        <f>0.0141*15+0.162</f>
        <v>0.3735</v>
      </c>
      <c r="G63" s="6">
        <v>16</v>
      </c>
      <c r="H63" s="6">
        <f>-0.0004*14^2 + 0.0212*14 + 0.0715</f>
        <v>0.28989999999999999</v>
      </c>
      <c r="I63" s="6">
        <f>-0.0005*14^2 + 0.024*14 + 0.0501</f>
        <v>0.28810000000000002</v>
      </c>
    </row>
    <row r="64" spans="2:9" x14ac:dyDescent="0.15">
      <c r="B64">
        <v>1637</v>
      </c>
      <c r="C64">
        <v>1251</v>
      </c>
      <c r="D64">
        <v>4320</v>
      </c>
      <c r="E64">
        <v>0.37893518518518521</v>
      </c>
      <c r="F64">
        <v>0.38929556112097857</v>
      </c>
      <c r="G64">
        <v>17</v>
      </c>
      <c r="H64">
        <v>0.28958333333333336</v>
      </c>
      <c r="I64">
        <v>0.2975007617363129</v>
      </c>
    </row>
    <row r="65" spans="2:9" x14ac:dyDescent="0.15">
      <c r="B65">
        <v>1744</v>
      </c>
      <c r="C65">
        <v>1284</v>
      </c>
      <c r="D65">
        <v>4373</v>
      </c>
      <c r="E65">
        <v>0.39881088497598904</v>
      </c>
      <c r="F65">
        <v>0.4147412697586968</v>
      </c>
      <c r="G65">
        <v>18</v>
      </c>
      <c r="H65">
        <v>0.29361994054424878</v>
      </c>
      <c r="I65">
        <v>0.30534850365261851</v>
      </c>
    </row>
    <row r="66" spans="2:9" x14ac:dyDescent="0.15">
      <c r="B66">
        <v>1777</v>
      </c>
      <c r="C66">
        <v>1319</v>
      </c>
      <c r="D66">
        <v>4326</v>
      </c>
      <c r="E66">
        <v>0.41077207582061953</v>
      </c>
      <c r="F66">
        <v>0.4225890116750024</v>
      </c>
      <c r="G66">
        <v>19</v>
      </c>
      <c r="H66">
        <v>0.30490060101710587</v>
      </c>
      <c r="I66">
        <v>0.31367186629112448</v>
      </c>
    </row>
    <row r="67" spans="2:9" x14ac:dyDescent="0.15">
      <c r="B67">
        <v>1751</v>
      </c>
      <c r="C67">
        <v>1329</v>
      </c>
      <c r="D67">
        <v>4233</v>
      </c>
      <c r="E67">
        <v>0.41365461847389556</v>
      </c>
      <c r="F67">
        <v>0.41640594228639799</v>
      </c>
      <c r="G67">
        <v>20</v>
      </c>
      <c r="H67">
        <v>0.31396172927002125</v>
      </c>
      <c r="I67">
        <v>0.31604996990212619</v>
      </c>
    </row>
    <row r="68" spans="2:9" x14ac:dyDescent="0.15">
      <c r="B68">
        <v>1830</v>
      </c>
      <c r="C68">
        <v>1337</v>
      </c>
      <c r="D68">
        <v>4476</v>
      </c>
      <c r="E68">
        <v>0.40884718498659517</v>
      </c>
      <c r="F68">
        <v>0.43519296081331144</v>
      </c>
      <c r="G68">
        <v>21</v>
      </c>
      <c r="H68">
        <v>0.29870420017873101</v>
      </c>
      <c r="I68">
        <v>0.31795245279092754</v>
      </c>
    </row>
    <row r="69" spans="2:9" x14ac:dyDescent="0.15">
      <c r="B69">
        <v>1943</v>
      </c>
      <c r="C69">
        <v>1316</v>
      </c>
      <c r="D69">
        <v>4340</v>
      </c>
      <c r="E69">
        <v>0.44769585253456223</v>
      </c>
      <c r="F69">
        <v>0.46206553161763064</v>
      </c>
      <c r="G69">
        <v>22</v>
      </c>
      <c r="H69">
        <v>0.3032258064516129</v>
      </c>
      <c r="I69">
        <v>0.31295843520782396</v>
      </c>
    </row>
    <row r="70" spans="2:9" x14ac:dyDescent="0.15">
      <c r="B70">
        <v>1936</v>
      </c>
      <c r="C70">
        <v>1336</v>
      </c>
      <c r="D70">
        <v>4409</v>
      </c>
      <c r="E70">
        <v>0.43910183715128148</v>
      </c>
      <c r="F70">
        <v>0.46040085908992945</v>
      </c>
      <c r="G70">
        <v>23</v>
      </c>
      <c r="H70">
        <v>0.30301655704241326</v>
      </c>
      <c r="I70">
        <v>0.31771464242982739</v>
      </c>
    </row>
    <row r="71" spans="2:9" x14ac:dyDescent="0.15">
      <c r="B71">
        <v>1901</v>
      </c>
      <c r="C71">
        <v>1400</v>
      </c>
      <c r="D71">
        <v>4329</v>
      </c>
      <c r="E71">
        <v>0.43913143913143915</v>
      </c>
      <c r="F71">
        <v>0.45207749645142353</v>
      </c>
      <c r="G71">
        <v>24</v>
      </c>
      <c r="H71">
        <v>0.32340032340032338</v>
      </c>
      <c r="I71">
        <v>0.33293450554023823</v>
      </c>
    </row>
    <row r="72" spans="2:9" x14ac:dyDescent="0.15">
      <c r="B72">
        <v>1995</v>
      </c>
      <c r="C72">
        <v>1403</v>
      </c>
      <c r="D72">
        <v>4391</v>
      </c>
      <c r="E72">
        <v>0.45433841949442039</v>
      </c>
      <c r="F72">
        <v>0.47443167039483952</v>
      </c>
      <c r="G72">
        <v>25</v>
      </c>
      <c r="H72">
        <v>0.3195171942609884</v>
      </c>
      <c r="I72">
        <v>0.33364793662353875</v>
      </c>
    </row>
    <row r="73" spans="2:9" x14ac:dyDescent="0.15">
      <c r="B73">
        <v>2022</v>
      </c>
      <c r="C73">
        <v>1446</v>
      </c>
      <c r="D73">
        <v>4342</v>
      </c>
      <c r="E73">
        <v>0.46568401658222019</v>
      </c>
      <c r="F73">
        <v>0.48085255014454409</v>
      </c>
      <c r="G73">
        <v>26</v>
      </c>
      <c r="H73">
        <v>0.33302625518194379</v>
      </c>
      <c r="I73">
        <v>0.34387378215084607</v>
      </c>
    </row>
    <row r="74" spans="2:9" x14ac:dyDescent="0.15">
      <c r="B74" s="6">
        <v>1995</v>
      </c>
      <c r="C74" s="6"/>
      <c r="D74" s="6">
        <v>4205.03125</v>
      </c>
      <c r="E74" s="6">
        <f>0.013*23+0.1755</f>
        <v>0.47449999999999998</v>
      </c>
      <c r="F74" s="6">
        <f>0.0141*23+0.162</f>
        <v>0.48629999999999995</v>
      </c>
      <c r="G74" s="6">
        <v>27</v>
      </c>
      <c r="H74" s="6">
        <f>-0.0004*23^2 + 0.0212*23 + 0.0715</f>
        <v>0.34749999999999998</v>
      </c>
      <c r="I74" s="6">
        <f>-0.0005*23^2 + 0.024*23 + 0.0501</f>
        <v>0.33760000000000001</v>
      </c>
    </row>
    <row r="75" spans="2:9" x14ac:dyDescent="0.15">
      <c r="B75" s="6">
        <v>2104</v>
      </c>
      <c r="C75" s="6"/>
      <c r="D75" s="6">
        <v>4205.03125</v>
      </c>
      <c r="E75" s="6">
        <f>0.013*24+0.1755</f>
        <v>0.48749999999999999</v>
      </c>
      <c r="F75" s="6">
        <f>0.0141*24+0.162</f>
        <v>0.50039999999999996</v>
      </c>
      <c r="G75" s="6">
        <v>28</v>
      </c>
      <c r="H75" s="6">
        <f>-0.0004*24^2 + 0.0212*24 + 0.0715</f>
        <v>0.34989999999999999</v>
      </c>
      <c r="I75" s="6">
        <f>-0.0005*24^2 + 0.024*24 + 0.0501</f>
        <v>0.33810000000000001</v>
      </c>
    </row>
    <row r="76" spans="2:9" x14ac:dyDescent="0.15">
      <c r="B76">
        <v>2144</v>
      </c>
      <c r="C76">
        <v>1353</v>
      </c>
      <c r="D76">
        <v>4289</v>
      </c>
      <c r="E76">
        <v>0.49988342270925623</v>
      </c>
      <c r="F76">
        <v>0.50986541419876485</v>
      </c>
      <c r="G76">
        <v>29</v>
      </c>
      <c r="H76">
        <v>0.31545814875262301</v>
      </c>
      <c r="I76">
        <v>0.32175741856853024</v>
      </c>
    </row>
    <row r="77" spans="2:9" x14ac:dyDescent="0.15">
      <c r="B77">
        <v>1974</v>
      </c>
      <c r="C77">
        <v>1355</v>
      </c>
      <c r="D77">
        <v>4259</v>
      </c>
      <c r="E77">
        <v>0.46348908194411836</v>
      </c>
      <c r="F77">
        <v>0.46943765281173594</v>
      </c>
      <c r="G77">
        <v>30</v>
      </c>
      <c r="H77">
        <v>0.31814980042263441</v>
      </c>
      <c r="I77">
        <v>0.32223303929073061</v>
      </c>
    </row>
    <row r="78" spans="2:9" x14ac:dyDescent="0.15">
      <c r="B78">
        <v>2157</v>
      </c>
      <c r="C78">
        <v>1370</v>
      </c>
      <c r="D78">
        <v>4446</v>
      </c>
      <c r="E78">
        <v>0.4851551956815115</v>
      </c>
      <c r="F78">
        <v>0.51295694889306709</v>
      </c>
      <c r="G78">
        <v>31</v>
      </c>
      <c r="H78">
        <v>0.30814215024741343</v>
      </c>
      <c r="I78">
        <v>0.32580019470723315</v>
      </c>
    </row>
    <row r="79" spans="2:9" x14ac:dyDescent="0.15">
      <c r="B79">
        <v>2168</v>
      </c>
      <c r="C79">
        <v>1389</v>
      </c>
      <c r="D79">
        <v>4255</v>
      </c>
      <c r="E79">
        <v>0.5095182138660399</v>
      </c>
      <c r="F79">
        <v>0.5155728628651689</v>
      </c>
      <c r="G79">
        <v>32</v>
      </c>
      <c r="H79">
        <v>0.3264394829612221</v>
      </c>
      <c r="I79">
        <v>0.33031859156813637</v>
      </c>
    </row>
    <row r="80" spans="2:9" x14ac:dyDescent="0.15">
      <c r="B80">
        <v>2197</v>
      </c>
      <c r="C80">
        <v>1377</v>
      </c>
      <c r="D80">
        <v>4462</v>
      </c>
      <c r="E80">
        <v>0.49238009861048859</v>
      </c>
      <c r="F80">
        <v>0.52246936333707394</v>
      </c>
      <c r="G80">
        <v>33</v>
      </c>
      <c r="H80">
        <v>0.3086060062752129</v>
      </c>
      <c r="I80">
        <v>0.32746486723493434</v>
      </c>
    </row>
    <row r="81" spans="1:9" x14ac:dyDescent="0.15">
      <c r="B81">
        <v>2226</v>
      </c>
      <c r="C81">
        <v>1400</v>
      </c>
      <c r="D81">
        <v>4359</v>
      </c>
      <c r="E81">
        <v>0.51066758430832759</v>
      </c>
      <c r="F81">
        <v>0.52936586380897888</v>
      </c>
      <c r="G81">
        <v>34</v>
      </c>
      <c r="H81">
        <v>0.32117458132599219</v>
      </c>
      <c r="I81">
        <v>0.33293450554023823</v>
      </c>
    </row>
    <row r="82" spans="1:9" x14ac:dyDescent="0.15">
      <c r="B82">
        <v>2341</v>
      </c>
      <c r="C82">
        <v>1317</v>
      </c>
      <c r="D82">
        <v>4409</v>
      </c>
      <c r="E82">
        <v>0.53095940122476748</v>
      </c>
      <c r="F82">
        <v>0.55671405533549845</v>
      </c>
      <c r="G82">
        <v>35</v>
      </c>
      <c r="H82">
        <v>0.29870718983896577</v>
      </c>
      <c r="I82">
        <v>0.31319624556892411</v>
      </c>
    </row>
    <row r="83" spans="1:9" x14ac:dyDescent="0.15">
      <c r="B83">
        <v>2291</v>
      </c>
      <c r="C83">
        <v>1364</v>
      </c>
      <c r="D83">
        <v>4379</v>
      </c>
      <c r="E83">
        <v>0.52317880794701987</v>
      </c>
      <c r="F83">
        <v>0.54482353728048993</v>
      </c>
      <c r="G83">
        <v>36</v>
      </c>
      <c r="H83">
        <v>0.31148664078556748</v>
      </c>
      <c r="I83">
        <v>0.32437333254063211</v>
      </c>
    </row>
    <row r="84" spans="1:9" x14ac:dyDescent="0.15">
      <c r="B84">
        <v>2445</v>
      </c>
      <c r="C84">
        <v>1362</v>
      </c>
      <c r="D84">
        <v>3803</v>
      </c>
      <c r="E84">
        <v>0.64291348935051273</v>
      </c>
      <c r="F84">
        <v>0.5814463328899161</v>
      </c>
      <c r="G84">
        <v>37</v>
      </c>
      <c r="H84">
        <v>0.35813831185905864</v>
      </c>
      <c r="I84">
        <v>0.3238977118184318</v>
      </c>
    </row>
    <row r="85" spans="1:9" x14ac:dyDescent="0.15">
      <c r="B85">
        <v>2408</v>
      </c>
      <c r="C85">
        <v>1364</v>
      </c>
      <c r="D85">
        <v>4456</v>
      </c>
      <c r="E85">
        <v>0.54039497307001794</v>
      </c>
      <c r="F85">
        <v>0.57264734952920981</v>
      </c>
      <c r="G85">
        <v>38</v>
      </c>
      <c r="H85">
        <v>0.30610412926391384</v>
      </c>
      <c r="I85">
        <v>0.32437333254063211</v>
      </c>
    </row>
    <row r="87" spans="1:9" x14ac:dyDescent="0.15">
      <c r="D87">
        <v>4205.03125</v>
      </c>
    </row>
    <row r="91" spans="1:9" x14ac:dyDescent="0.15">
      <c r="A91" t="s">
        <v>24</v>
      </c>
    </row>
    <row r="92" spans="1:9" x14ac:dyDescent="0.15">
      <c r="B92" t="s">
        <v>20</v>
      </c>
      <c r="C92" t="s">
        <v>21</v>
      </c>
      <c r="D92" t="s">
        <v>22</v>
      </c>
      <c r="E92" t="s">
        <v>18</v>
      </c>
      <c r="F92" t="s">
        <v>16</v>
      </c>
      <c r="G92" t="s">
        <v>6</v>
      </c>
      <c r="H92" t="s">
        <v>17</v>
      </c>
      <c r="I92" t="s">
        <v>19</v>
      </c>
    </row>
    <row r="93" spans="1:9" x14ac:dyDescent="0.15">
      <c r="B93">
        <v>290</v>
      </c>
      <c r="C93">
        <v>250</v>
      </c>
      <c r="D93">
        <v>4105</v>
      </c>
      <c r="E93">
        <v>7.0645554202192443E-2</v>
      </c>
      <c r="F93">
        <v>6.6877580876471054E-2</v>
      </c>
      <c r="G93">
        <v>3</v>
      </c>
      <c r="H93">
        <v>6.090133982947625E-2</v>
      </c>
      <c r="I93">
        <v>5.765308696247505E-2</v>
      </c>
    </row>
    <row r="94" spans="1:9" x14ac:dyDescent="0.15">
      <c r="B94">
        <v>391</v>
      </c>
      <c r="C94">
        <v>370</v>
      </c>
      <c r="D94">
        <v>3973</v>
      </c>
      <c r="E94">
        <v>9.8414296501384349E-2</v>
      </c>
      <c r="F94">
        <v>9.0169428009310978E-2</v>
      </c>
      <c r="G94">
        <v>4</v>
      </c>
      <c r="H94">
        <v>9.3128618172665489E-2</v>
      </c>
      <c r="I94">
        <v>8.5326568704463063E-2</v>
      </c>
    </row>
    <row r="95" spans="1:9" x14ac:dyDescent="0.15">
      <c r="B95">
        <v>458</v>
      </c>
      <c r="C95">
        <v>401</v>
      </c>
      <c r="D95">
        <v>3912</v>
      </c>
      <c r="E95">
        <v>0.11707566462167689</v>
      </c>
      <c r="F95">
        <v>0.10562045531525428</v>
      </c>
      <c r="G95">
        <v>5</v>
      </c>
      <c r="H95">
        <v>0.10250511247443762</v>
      </c>
      <c r="I95">
        <v>9.2475551487809976E-2</v>
      </c>
    </row>
    <row r="96" spans="1:9" x14ac:dyDescent="0.15">
      <c r="B96">
        <v>501</v>
      </c>
      <c r="C96">
        <v>526</v>
      </c>
      <c r="D96">
        <v>3666</v>
      </c>
      <c r="E96">
        <v>0.13666121112929625</v>
      </c>
      <c r="F96">
        <v>0.11553678627279999</v>
      </c>
      <c r="G96">
        <v>6</v>
      </c>
      <c r="H96">
        <v>0.14348063284233498</v>
      </c>
      <c r="I96">
        <v>0.12130209496904749</v>
      </c>
    </row>
    <row r="97" spans="2:9" x14ac:dyDescent="0.15">
      <c r="B97">
        <v>771</v>
      </c>
      <c r="C97">
        <v>595</v>
      </c>
      <c r="D97">
        <v>4127</v>
      </c>
      <c r="E97">
        <v>0.1868185122364914</v>
      </c>
      <c r="F97">
        <v>0.17780212019227304</v>
      </c>
      <c r="G97">
        <v>7</v>
      </c>
      <c r="H97">
        <v>0.14417252241337533</v>
      </c>
      <c r="I97">
        <v>0.1372143469706906</v>
      </c>
    </row>
    <row r="98" spans="2:9" x14ac:dyDescent="0.15">
      <c r="B98" s="6">
        <v>911</v>
      </c>
      <c r="C98" s="6"/>
      <c r="D98" s="6">
        <v>4336.28125</v>
      </c>
      <c r="E98" s="6">
        <f>0.0143*6+0.1245</f>
        <v>0.21029999999999999</v>
      </c>
      <c r="F98" s="6">
        <f>0.016*6+0.1034</f>
        <v>0.19940000000000002</v>
      </c>
      <c r="G98" s="6"/>
      <c r="H98" s="6">
        <f xml:space="preserve"> -0.0004*6^2 + 0.0198*6 + 0.0642</f>
        <v>0.16860000000000003</v>
      </c>
      <c r="I98" s="6">
        <f>-0.0004*6^2 + 0.0214*6 + 0.0461</f>
        <v>0.16009999999999999</v>
      </c>
    </row>
    <row r="99" spans="2:9" x14ac:dyDescent="0.15">
      <c r="B99" s="6">
        <v>973</v>
      </c>
      <c r="C99" s="6"/>
      <c r="D99" s="6">
        <v>4336.28125</v>
      </c>
      <c r="E99" s="6">
        <f>0.0143*7+0.1245</f>
        <v>0.22459999999999999</v>
      </c>
      <c r="F99" s="6">
        <f>0.016*7+0.1034</f>
        <v>0.21540000000000001</v>
      </c>
      <c r="G99" s="6"/>
      <c r="H99" s="6">
        <f xml:space="preserve"> -0.0004*7^2 + 0.0198*7 + 0.0642</f>
        <v>0.18319999999999997</v>
      </c>
      <c r="I99" s="6">
        <f>-0.0004*7^2 + 0.0214*7 + 0.0461</f>
        <v>0.17629999999999998</v>
      </c>
    </row>
    <row r="100" spans="2:9" x14ac:dyDescent="0.15">
      <c r="B100">
        <v>956</v>
      </c>
      <c r="C100">
        <v>751</v>
      </c>
      <c r="D100">
        <v>3611</v>
      </c>
      <c r="E100">
        <v>0.26474660758792579</v>
      </c>
      <c r="F100">
        <v>0.22046540454450458</v>
      </c>
      <c r="G100">
        <v>10</v>
      </c>
      <c r="H100">
        <v>0.20797563001938521</v>
      </c>
      <c r="I100">
        <v>0.17318987323527504</v>
      </c>
    </row>
    <row r="101" spans="2:9" x14ac:dyDescent="0.15">
      <c r="B101">
        <v>1005</v>
      </c>
      <c r="C101">
        <v>815</v>
      </c>
      <c r="D101">
        <v>4192</v>
      </c>
      <c r="E101">
        <v>0.23974236641221375</v>
      </c>
      <c r="F101">
        <v>0.23176540958914968</v>
      </c>
      <c r="G101">
        <v>11</v>
      </c>
      <c r="H101">
        <v>0.19441793893129772</v>
      </c>
      <c r="I101">
        <v>0.18794906349766866</v>
      </c>
    </row>
    <row r="102" spans="2:9" x14ac:dyDescent="0.15">
      <c r="B102">
        <v>1140</v>
      </c>
      <c r="C102">
        <v>897</v>
      </c>
      <c r="D102">
        <v>4154</v>
      </c>
      <c r="E102">
        <v>0.27443428021184402</v>
      </c>
      <c r="F102">
        <v>0.26289807654888619</v>
      </c>
      <c r="G102">
        <v>12</v>
      </c>
      <c r="H102">
        <v>0.21593644679826673</v>
      </c>
      <c r="I102">
        <v>0.20685927602136048</v>
      </c>
    </row>
    <row r="103" spans="2:9" x14ac:dyDescent="0.15">
      <c r="B103">
        <v>1143</v>
      </c>
      <c r="C103">
        <v>907</v>
      </c>
      <c r="D103">
        <v>4373</v>
      </c>
      <c r="E103">
        <v>0.26137662931625888</v>
      </c>
      <c r="F103">
        <v>0.26358991359243594</v>
      </c>
      <c r="G103">
        <v>13</v>
      </c>
      <c r="H103">
        <v>0.207409101303453</v>
      </c>
      <c r="I103">
        <v>0.20916539949985946</v>
      </c>
    </row>
    <row r="104" spans="2:9" x14ac:dyDescent="0.15">
      <c r="B104">
        <v>1258</v>
      </c>
      <c r="C104">
        <v>961</v>
      </c>
      <c r="D104">
        <v>4282</v>
      </c>
      <c r="E104">
        <v>0.29378794955628212</v>
      </c>
      <c r="F104">
        <v>0.29011033359517446</v>
      </c>
      <c r="G104">
        <v>14</v>
      </c>
      <c r="H104">
        <v>0.22442783745913125</v>
      </c>
      <c r="I104">
        <v>0.22161846628375409</v>
      </c>
    </row>
    <row r="105" spans="2:9" x14ac:dyDescent="0.15">
      <c r="B105">
        <v>1245</v>
      </c>
      <c r="C105">
        <v>1030</v>
      </c>
      <c r="D105">
        <v>3922</v>
      </c>
      <c r="E105">
        <v>0.31744008159102499</v>
      </c>
      <c r="F105">
        <v>0.28711237307312576</v>
      </c>
      <c r="G105">
        <v>15</v>
      </c>
      <c r="H105">
        <v>0.26262111167771546</v>
      </c>
      <c r="I105">
        <v>0.23753071828539718</v>
      </c>
    </row>
    <row r="106" spans="2:9" x14ac:dyDescent="0.15">
      <c r="B106">
        <v>1399</v>
      </c>
      <c r="C106">
        <v>1047</v>
      </c>
      <c r="D106">
        <v>4520</v>
      </c>
      <c r="E106">
        <v>0.30951327433628317</v>
      </c>
      <c r="F106">
        <v>0.32262667464201034</v>
      </c>
      <c r="G106">
        <v>16</v>
      </c>
      <c r="H106">
        <v>0.23163716814159291</v>
      </c>
      <c r="I106">
        <v>0.24145112819884551</v>
      </c>
    </row>
    <row r="107" spans="2:9" x14ac:dyDescent="0.15">
      <c r="B107">
        <v>1413</v>
      </c>
      <c r="C107">
        <v>1133</v>
      </c>
      <c r="D107">
        <v>4405</v>
      </c>
      <c r="E107">
        <v>0.32077185017026105</v>
      </c>
      <c r="F107">
        <v>0.32585524751190897</v>
      </c>
      <c r="G107">
        <v>17</v>
      </c>
      <c r="H107">
        <v>0.2572077185017026</v>
      </c>
      <c r="I107">
        <v>0.26128379011393693</v>
      </c>
    </row>
    <row r="108" spans="2:9" x14ac:dyDescent="0.15">
      <c r="B108">
        <v>1509</v>
      </c>
      <c r="C108">
        <v>1134</v>
      </c>
      <c r="D108">
        <v>4447</v>
      </c>
      <c r="E108">
        <v>0.33932988531594332</v>
      </c>
      <c r="F108">
        <v>0.34799403290549941</v>
      </c>
      <c r="G108">
        <v>18</v>
      </c>
      <c r="H108">
        <v>0.2550033730604902</v>
      </c>
      <c r="I108">
        <v>0.26151440246178681</v>
      </c>
    </row>
    <row r="109" spans="2:9" x14ac:dyDescent="0.15">
      <c r="B109">
        <v>1586</v>
      </c>
      <c r="C109">
        <v>1149</v>
      </c>
      <c r="D109">
        <v>4184</v>
      </c>
      <c r="E109">
        <v>0.37906309751434036</v>
      </c>
      <c r="F109">
        <v>0.36575118368994169</v>
      </c>
      <c r="G109">
        <v>19</v>
      </c>
      <c r="H109">
        <v>0.27461759082217974</v>
      </c>
      <c r="I109">
        <v>0.26497358767953533</v>
      </c>
    </row>
    <row r="110" spans="2:9" x14ac:dyDescent="0.15">
      <c r="B110">
        <v>1676</v>
      </c>
      <c r="C110">
        <v>1231</v>
      </c>
      <c r="D110">
        <v>4418</v>
      </c>
      <c r="E110">
        <v>0.37935717519239476</v>
      </c>
      <c r="F110">
        <v>0.38650629499643274</v>
      </c>
      <c r="G110">
        <v>20</v>
      </c>
      <c r="H110">
        <v>0.27863286555002265</v>
      </c>
      <c r="I110">
        <v>0.28388380020322712</v>
      </c>
    </row>
    <row r="111" spans="2:9" x14ac:dyDescent="0.15">
      <c r="B111">
        <v>1676</v>
      </c>
      <c r="C111">
        <v>1265</v>
      </c>
      <c r="D111">
        <v>4321</v>
      </c>
      <c r="E111">
        <v>0.38787317750520711</v>
      </c>
      <c r="F111">
        <v>0.38650629499643274</v>
      </c>
      <c r="G111">
        <v>21</v>
      </c>
      <c r="H111">
        <v>0.29275630641055311</v>
      </c>
      <c r="I111">
        <v>0.29172462003012373</v>
      </c>
    </row>
    <row r="112" spans="2:9" x14ac:dyDescent="0.15">
      <c r="B112" s="6">
        <v>1656</v>
      </c>
      <c r="C112" s="6"/>
      <c r="D112" s="6">
        <v>4336.28125</v>
      </c>
      <c r="E112" s="6">
        <f>0.0143*18+0.1245</f>
        <v>0.38190000000000002</v>
      </c>
      <c r="F112" s="6">
        <f>0.016*18+0.1034</f>
        <v>0.39140000000000003</v>
      </c>
      <c r="G112" s="6"/>
      <c r="H112" s="6">
        <f xml:space="preserve"> -0.0004*19^2 + 0.0198*19 + 0.0642</f>
        <v>0.29600000000000004</v>
      </c>
      <c r="I112" s="6">
        <f>-0.0004*19^2 + 0.0214*19 + 0.0461</f>
        <v>0.30830000000000002</v>
      </c>
    </row>
    <row r="113" spans="2:9" x14ac:dyDescent="0.15">
      <c r="B113" s="6">
        <v>1718</v>
      </c>
      <c r="C113" s="6"/>
      <c r="D113" s="6">
        <v>4336.28125</v>
      </c>
      <c r="E113" s="6">
        <f>0.0143*19+0.1245</f>
        <v>0.3962</v>
      </c>
      <c r="F113" s="6">
        <f>0.016*19+0.1034</f>
        <v>0.40739999999999998</v>
      </c>
      <c r="G113" s="6"/>
      <c r="H113" s="6">
        <f xml:space="preserve"> -0.0004*20^2 + 0.0198*20 + 0.0642</f>
        <v>0.30020000000000002</v>
      </c>
      <c r="I113" s="6">
        <f>-0.0004*20^2 + 0.0214*20 + 0.0461</f>
        <v>0.31410000000000005</v>
      </c>
    </row>
    <row r="114" spans="2:9" x14ac:dyDescent="0.15">
      <c r="B114">
        <v>1743</v>
      </c>
      <c r="C114">
        <v>1389</v>
      </c>
      <c r="D114">
        <v>4364</v>
      </c>
      <c r="E114">
        <v>0.39940421631530704</v>
      </c>
      <c r="F114">
        <v>0.40195732230237602</v>
      </c>
      <c r="G114">
        <v>24</v>
      </c>
      <c r="H114">
        <v>0.31828597616865262</v>
      </c>
      <c r="I114">
        <v>0.32032055116351138</v>
      </c>
    </row>
    <row r="115" spans="2:9" x14ac:dyDescent="0.15">
      <c r="B115">
        <v>1949</v>
      </c>
      <c r="C115">
        <v>1386</v>
      </c>
      <c r="D115">
        <v>4550</v>
      </c>
      <c r="E115">
        <v>0.42835164835164835</v>
      </c>
      <c r="F115">
        <v>0.44946346595945547</v>
      </c>
      <c r="G115">
        <v>25</v>
      </c>
      <c r="H115">
        <v>0.30461538461538462</v>
      </c>
      <c r="I115">
        <v>0.31962871411996169</v>
      </c>
    </row>
    <row r="116" spans="2:9" x14ac:dyDescent="0.15">
      <c r="B116">
        <v>1929</v>
      </c>
      <c r="C116">
        <v>1310</v>
      </c>
      <c r="D116">
        <v>4592</v>
      </c>
      <c r="E116">
        <v>0.42007839721254353</v>
      </c>
      <c r="F116">
        <v>0.44485121900245744</v>
      </c>
      <c r="G116">
        <v>26</v>
      </c>
      <c r="H116">
        <v>0.28527874564459932</v>
      </c>
      <c r="I116">
        <v>0.30210217568336922</v>
      </c>
    </row>
    <row r="117" spans="2:9" x14ac:dyDescent="0.15">
      <c r="B117">
        <v>2041</v>
      </c>
      <c r="C117">
        <v>1336</v>
      </c>
      <c r="D117">
        <v>4591</v>
      </c>
      <c r="E117">
        <v>0.44456545414942278</v>
      </c>
      <c r="F117">
        <v>0.47067980196164627</v>
      </c>
      <c r="G117">
        <v>27</v>
      </c>
      <c r="H117">
        <v>0.29100413853191026</v>
      </c>
      <c r="I117">
        <v>0.30809809672746663</v>
      </c>
    </row>
    <row r="118" spans="2:9" x14ac:dyDescent="0.15">
      <c r="B118">
        <v>1908</v>
      </c>
      <c r="C118">
        <v>1365</v>
      </c>
      <c r="D118">
        <v>4579</v>
      </c>
      <c r="E118">
        <v>0.41668486569119895</v>
      </c>
      <c r="F118">
        <v>0.44000835969760954</v>
      </c>
      <c r="G118">
        <v>28</v>
      </c>
      <c r="H118">
        <v>0.29810002183882944</v>
      </c>
      <c r="I118">
        <v>0.31478585481511373</v>
      </c>
    </row>
    <row r="119" spans="2:9" x14ac:dyDescent="0.15">
      <c r="B119">
        <v>2126</v>
      </c>
      <c r="C119">
        <v>1301</v>
      </c>
      <c r="D119">
        <v>4588</v>
      </c>
      <c r="E119">
        <v>0.46338273757628595</v>
      </c>
      <c r="F119">
        <v>0.49028185152888781</v>
      </c>
      <c r="G119">
        <v>29</v>
      </c>
      <c r="H119">
        <v>0.28356582388840451</v>
      </c>
      <c r="I119">
        <v>0.30002666455272015</v>
      </c>
    </row>
    <row r="120" spans="2:9" x14ac:dyDescent="0.15">
      <c r="B120">
        <v>2156</v>
      </c>
      <c r="C120">
        <v>1421</v>
      </c>
      <c r="D120">
        <v>4518</v>
      </c>
      <c r="E120">
        <v>0.47720230190349711</v>
      </c>
      <c r="F120">
        <v>0.49720022196438479</v>
      </c>
      <c r="G120">
        <v>30</v>
      </c>
      <c r="H120">
        <v>0.31451969898185039</v>
      </c>
      <c r="I120">
        <v>0.32770014629470817</v>
      </c>
    </row>
    <row r="121" spans="2:9" x14ac:dyDescent="0.15">
      <c r="B121">
        <v>2112</v>
      </c>
      <c r="C121">
        <v>1358</v>
      </c>
      <c r="D121">
        <v>4434</v>
      </c>
      <c r="E121">
        <v>0.47631935047361301</v>
      </c>
      <c r="F121">
        <v>0.48705327865898917</v>
      </c>
      <c r="G121">
        <v>31</v>
      </c>
      <c r="H121">
        <v>0.30626973387460532</v>
      </c>
      <c r="I121">
        <v>0.31317156838016447</v>
      </c>
    </row>
    <row r="122" spans="2:9" x14ac:dyDescent="0.15">
      <c r="B122">
        <v>2217</v>
      </c>
      <c r="C122">
        <v>1356</v>
      </c>
      <c r="D122">
        <v>4624</v>
      </c>
      <c r="E122">
        <v>0.47945501730103807</v>
      </c>
      <c r="F122">
        <v>0.51126757518322874</v>
      </c>
      <c r="G122">
        <v>32</v>
      </c>
      <c r="H122">
        <v>0.29325259515570934</v>
      </c>
      <c r="I122">
        <v>0.31271034368446465</v>
      </c>
    </row>
    <row r="123" spans="2:9" x14ac:dyDescent="0.15">
      <c r="B123">
        <v>2287</v>
      </c>
      <c r="C123">
        <v>1429</v>
      </c>
      <c r="D123">
        <v>4551</v>
      </c>
      <c r="E123">
        <v>0.50252691716106346</v>
      </c>
      <c r="F123">
        <v>0.52741043953272171</v>
      </c>
      <c r="G123">
        <v>33</v>
      </c>
      <c r="H123">
        <v>0.3139969237530213</v>
      </c>
      <c r="I123">
        <v>0.32954504507750737</v>
      </c>
    </row>
    <row r="124" spans="2:9" x14ac:dyDescent="0.15">
      <c r="B124">
        <v>2303</v>
      </c>
      <c r="C124">
        <v>1394</v>
      </c>
      <c r="D124">
        <v>4628</v>
      </c>
      <c r="E124">
        <v>0.49762316335350043</v>
      </c>
      <c r="F124">
        <v>0.5311002370983201</v>
      </c>
      <c r="G124">
        <v>34</v>
      </c>
      <c r="H124">
        <v>0.30121002592912705</v>
      </c>
      <c r="I124">
        <v>0.32147361290276089</v>
      </c>
    </row>
    <row r="125" spans="2:9" x14ac:dyDescent="0.15">
      <c r="B125">
        <v>2331</v>
      </c>
      <c r="C125">
        <v>1342</v>
      </c>
      <c r="D125">
        <v>4389</v>
      </c>
      <c r="E125">
        <v>0.53110047846889952</v>
      </c>
      <c r="F125">
        <v>0.53755738283811738</v>
      </c>
      <c r="G125">
        <v>35</v>
      </c>
      <c r="H125">
        <v>0.30576441102756891</v>
      </c>
      <c r="I125">
        <v>0.30948177081456607</v>
      </c>
    </row>
    <row r="126" spans="2:9" x14ac:dyDescent="0.15">
      <c r="B126" s="6">
        <v>2213</v>
      </c>
      <c r="C126" s="6"/>
      <c r="D126" s="6">
        <v>4336.28125</v>
      </c>
      <c r="E126" s="6">
        <f>0.0143*27+0.1245</f>
        <v>0.51059999999999994</v>
      </c>
      <c r="F126" s="6">
        <f>0.016*27+0.1034</f>
        <v>0.53539999999999999</v>
      </c>
      <c r="G126" s="6"/>
      <c r="H126" s="6">
        <f xml:space="preserve"> -0.0004*27^2 + 0.0198*27 + 0.0642</f>
        <v>0.30720000000000003</v>
      </c>
      <c r="I126" s="6">
        <f>-0.0004*27^2 + 0.0214*27 + 0.0461</f>
        <v>0.33229999999999993</v>
      </c>
    </row>
    <row r="127" spans="2:9" x14ac:dyDescent="0.15">
      <c r="B127" s="6">
        <v>2276</v>
      </c>
      <c r="C127" s="6"/>
      <c r="D127" s="6">
        <v>4336.28125</v>
      </c>
      <c r="E127" s="6">
        <f>0.0143*28+0.1245</f>
        <v>0.52489999999999992</v>
      </c>
      <c r="F127" s="6">
        <f>0.016*28+0.1034</f>
        <v>0.5514</v>
      </c>
      <c r="G127" s="6"/>
      <c r="H127" s="6">
        <f xml:space="preserve"> -0.0004*28^2 + 0.0198*28 + 0.0642</f>
        <v>0.30499999999999999</v>
      </c>
      <c r="I127" s="6">
        <f>-0.0004*28^2 + 0.0214*28 + 0.0461</f>
        <v>0.33169999999999999</v>
      </c>
    </row>
    <row r="128" spans="2:9" x14ac:dyDescent="0.15">
      <c r="B128">
        <v>2397</v>
      </c>
      <c r="C128">
        <v>1419</v>
      </c>
      <c r="D128">
        <v>4623</v>
      </c>
      <c r="E128">
        <v>0.518494484101233</v>
      </c>
      <c r="F128">
        <v>0.55277779779621072</v>
      </c>
      <c r="G128">
        <v>38</v>
      </c>
      <c r="H128">
        <v>0.30694354315379624</v>
      </c>
      <c r="I128">
        <v>0.32723892159900836</v>
      </c>
    </row>
    <row r="129" spans="1:12" x14ac:dyDescent="0.15">
      <c r="B129">
        <v>2547</v>
      </c>
      <c r="C129">
        <v>1437</v>
      </c>
      <c r="D129">
        <v>4505</v>
      </c>
      <c r="E129">
        <v>0.56537180910099893</v>
      </c>
      <c r="F129">
        <v>0.58736964997369578</v>
      </c>
      <c r="G129">
        <v>39</v>
      </c>
      <c r="H129">
        <v>0.31897891231964481</v>
      </c>
      <c r="I129">
        <v>0.33138994386030657</v>
      </c>
    </row>
    <row r="130" spans="1:12" x14ac:dyDescent="0.15">
      <c r="B130">
        <v>2532</v>
      </c>
      <c r="C130">
        <v>1423</v>
      </c>
      <c r="D130">
        <v>4613</v>
      </c>
      <c r="E130">
        <v>0.54888358985475827</v>
      </c>
      <c r="F130">
        <v>0.58391046475594732</v>
      </c>
      <c r="G130">
        <v>40</v>
      </c>
      <c r="H130">
        <v>0.30847604595707784</v>
      </c>
      <c r="I130">
        <v>0.32816137099040799</v>
      </c>
    </row>
    <row r="132" spans="1:12" x14ac:dyDescent="0.15">
      <c r="D132">
        <v>4336.28125</v>
      </c>
    </row>
    <row r="134" spans="1:12" x14ac:dyDescent="0.15">
      <c r="A134" s="4" t="s">
        <v>34</v>
      </c>
      <c r="B134" s="4"/>
      <c r="C134" s="4" t="s">
        <v>20</v>
      </c>
      <c r="D134" s="4" t="s">
        <v>21</v>
      </c>
      <c r="E134" s="4" t="s">
        <v>22</v>
      </c>
      <c r="F134" s="4" t="s">
        <v>18</v>
      </c>
      <c r="G134" s="4" t="s">
        <v>17</v>
      </c>
      <c r="H134" s="4" t="s">
        <v>33</v>
      </c>
      <c r="I134" s="4" t="s">
        <v>32</v>
      </c>
      <c r="J134" s="4" t="s">
        <v>35</v>
      </c>
      <c r="K134" s="4" t="s">
        <v>36</v>
      </c>
      <c r="L134" s="4" t="s">
        <v>37</v>
      </c>
    </row>
    <row r="135" spans="1:12" x14ac:dyDescent="0.15">
      <c r="A135" s="4"/>
      <c r="B135" s="4" t="s">
        <v>25</v>
      </c>
      <c r="C135" s="4">
        <v>2689</v>
      </c>
      <c r="D135" s="4">
        <v>1277</v>
      </c>
      <c r="E135" s="4">
        <v>4407</v>
      </c>
      <c r="F135" s="4">
        <v>0.61016565</v>
      </c>
      <c r="G135" s="4">
        <v>0.28976627999999999</v>
      </c>
      <c r="H135">
        <f>(F135-0.1097)/0.0133</f>
        <v>37.628996240601502</v>
      </c>
      <c r="I135">
        <f>(F135-0.1301)/0.0119</f>
        <v>40.3416512605042</v>
      </c>
      <c r="J135">
        <v>38.538569208305795</v>
      </c>
      <c r="K135">
        <v>31.28</v>
      </c>
      <c r="L135">
        <v>21.885000000000002</v>
      </c>
    </row>
    <row r="136" spans="1:12" x14ac:dyDescent="0.15">
      <c r="A136" s="4"/>
      <c r="B136" s="4" t="s">
        <v>25</v>
      </c>
      <c r="C136" s="4">
        <v>2405</v>
      </c>
      <c r="D136" s="4">
        <v>1318</v>
      </c>
      <c r="E136" s="4">
        <v>4437</v>
      </c>
      <c r="F136" s="4">
        <v>0.54203290999999998</v>
      </c>
      <c r="G136" s="4">
        <v>0.29704754999999999</v>
      </c>
      <c r="H136">
        <f t="shared" ref="H136:H143" si="0">(F136-0.1097)/0.0133</f>
        <v>32.506233834586467</v>
      </c>
      <c r="I136">
        <f t="shared" ref="I136:I143" si="1">(F136-0.1301)/0.0119</f>
        <v>34.616210924369746</v>
      </c>
      <c r="J136">
        <v>37.077917479976513</v>
      </c>
      <c r="L136">
        <v>23.718</v>
      </c>
    </row>
    <row r="137" spans="1:12" x14ac:dyDescent="0.15">
      <c r="A137" s="4"/>
      <c r="B137" s="4" t="s">
        <v>26</v>
      </c>
      <c r="C137" s="4">
        <v>2255</v>
      </c>
      <c r="D137" s="4">
        <v>1148</v>
      </c>
      <c r="E137" s="4">
        <v>4454</v>
      </c>
      <c r="F137" s="4">
        <v>0.50628647999999998</v>
      </c>
      <c r="G137" s="4">
        <v>0.25774585</v>
      </c>
      <c r="H137">
        <f t="shared" si="0"/>
        <v>29.818532330827065</v>
      </c>
      <c r="I137">
        <f t="shared" si="1"/>
        <v>31.612309243697474</v>
      </c>
      <c r="J137">
        <v>43.22699894368759</v>
      </c>
      <c r="K137">
        <v>38.39</v>
      </c>
      <c r="L137">
        <v>15.3635</v>
      </c>
    </row>
    <row r="138" spans="1:12" x14ac:dyDescent="0.15">
      <c r="A138" s="4"/>
      <c r="B138" s="4" t="s">
        <v>27</v>
      </c>
      <c r="C138" s="4">
        <v>1783</v>
      </c>
      <c r="D138" s="4">
        <v>1261</v>
      </c>
      <c r="E138" s="4">
        <v>4619</v>
      </c>
      <c r="F138" s="4">
        <v>0.38601428999999998</v>
      </c>
      <c r="G138" s="4">
        <v>0.27300280999999998</v>
      </c>
      <c r="H138">
        <f t="shared" si="0"/>
        <v>20.775510526315788</v>
      </c>
      <c r="I138">
        <f t="shared" si="1"/>
        <v>21.505402521008399</v>
      </c>
      <c r="J138">
        <v>41.229192924778197</v>
      </c>
      <c r="K138">
        <v>35.79</v>
      </c>
      <c r="L138">
        <v>18.184999999999999</v>
      </c>
    </row>
    <row r="139" spans="1:12" x14ac:dyDescent="0.15">
      <c r="A139" s="4"/>
      <c r="B139" s="4" t="s">
        <v>28</v>
      </c>
      <c r="C139" s="4">
        <v>2409</v>
      </c>
      <c r="D139" s="4">
        <v>1140</v>
      </c>
      <c r="E139" s="4">
        <v>4572</v>
      </c>
      <c r="F139" s="4">
        <v>0.52690289000000001</v>
      </c>
      <c r="G139" s="4">
        <v>0.24934382999999999</v>
      </c>
      <c r="H139">
        <f t="shared" si="0"/>
        <v>31.368638345864664</v>
      </c>
      <c r="I139">
        <f t="shared" si="1"/>
        <v>33.344780672268904</v>
      </c>
      <c r="J139">
        <v>44.211805916791235</v>
      </c>
      <c r="K139">
        <v>39.590000000000003</v>
      </c>
      <c r="L139">
        <v>14.0014</v>
      </c>
    </row>
    <row r="140" spans="1:12" x14ac:dyDescent="0.15">
      <c r="A140" s="4"/>
      <c r="B140" s="4" t="s">
        <v>29</v>
      </c>
      <c r="C140" s="4">
        <v>2483</v>
      </c>
      <c r="D140" s="4">
        <v>1594</v>
      </c>
      <c r="E140" s="4">
        <v>4450</v>
      </c>
      <c r="F140" s="4">
        <v>0.55797753000000005</v>
      </c>
      <c r="G140" s="4">
        <v>0.35820225</v>
      </c>
      <c r="H140">
        <f t="shared" si="0"/>
        <v>33.705077443609028</v>
      </c>
      <c r="I140">
        <f t="shared" si="1"/>
        <v>35.956094957983197</v>
      </c>
      <c r="L140">
        <v>46.62</v>
      </c>
    </row>
    <row r="141" spans="1:12" x14ac:dyDescent="0.15">
      <c r="A141" s="4"/>
      <c r="B141" s="4" t="s">
        <v>30</v>
      </c>
      <c r="C141" s="4">
        <v>2210</v>
      </c>
      <c r="D141" s="4">
        <v>1388</v>
      </c>
      <c r="E141" s="4">
        <v>4495</v>
      </c>
      <c r="F141" s="4">
        <v>0.49165740000000002</v>
      </c>
      <c r="G141" s="4">
        <v>0.30878754000000003</v>
      </c>
      <c r="H141">
        <f t="shared" si="0"/>
        <v>28.718601503759402</v>
      </c>
      <c r="I141">
        <f t="shared" si="1"/>
        <v>30.382974789915966</v>
      </c>
      <c r="J141">
        <v>33.77686021905479</v>
      </c>
      <c r="L141">
        <v>27.004999999999999</v>
      </c>
    </row>
    <row r="142" spans="1:12" x14ac:dyDescent="0.15">
      <c r="A142" s="4"/>
      <c r="B142" s="4" t="s">
        <v>31</v>
      </c>
      <c r="C142" s="4">
        <v>2593</v>
      </c>
      <c r="D142" s="4">
        <v>1302</v>
      </c>
      <c r="E142" s="4">
        <v>4306</v>
      </c>
      <c r="F142" s="4">
        <v>0.60218300000000002</v>
      </c>
      <c r="G142" s="4">
        <v>0.30236879</v>
      </c>
      <c r="H142">
        <f t="shared" si="0"/>
        <v>37.028796992481205</v>
      </c>
      <c r="I142">
        <f t="shared" si="1"/>
        <v>39.670840336134454</v>
      </c>
      <c r="J142">
        <v>35.799791001824339</v>
      </c>
      <c r="L142">
        <v>25.155000000000001</v>
      </c>
    </row>
    <row r="143" spans="1:12" x14ac:dyDescent="0.15">
      <c r="A143" s="4"/>
      <c r="B143" s="4" t="s">
        <v>31</v>
      </c>
      <c r="C143" s="4">
        <v>2640</v>
      </c>
      <c r="D143" s="4">
        <v>1337</v>
      </c>
      <c r="E143" s="4">
        <v>4161</v>
      </c>
      <c r="F143" s="4">
        <v>0.63446287000000001</v>
      </c>
      <c r="G143" s="4">
        <v>0.32131699000000002</v>
      </c>
      <c r="H143">
        <f t="shared" si="0"/>
        <v>39.455854887218045</v>
      </c>
      <c r="I143">
        <f t="shared" si="1"/>
        <v>42.383434453781511</v>
      </c>
      <c r="L143">
        <v>31.013999999999999</v>
      </c>
    </row>
    <row r="145" spans="1:5" x14ac:dyDescent="0.15">
      <c r="A145" s="4" t="s">
        <v>46</v>
      </c>
    </row>
    <row r="146" spans="1:5" x14ac:dyDescent="0.15">
      <c r="A146" s="4" t="s">
        <v>53</v>
      </c>
      <c r="B146" s="4" t="s">
        <v>47</v>
      </c>
      <c r="C146">
        <v>1337</v>
      </c>
      <c r="D146">
        <v>759</v>
      </c>
      <c r="E146">
        <v>4000</v>
      </c>
    </row>
    <row r="147" spans="1:5" x14ac:dyDescent="0.15">
      <c r="A147" s="4" t="s">
        <v>54</v>
      </c>
      <c r="B147" s="4" t="s">
        <v>48</v>
      </c>
      <c r="C147">
        <v>1846</v>
      </c>
      <c r="D147">
        <v>1117</v>
      </c>
      <c r="E147">
        <v>4042</v>
      </c>
    </row>
    <row r="148" spans="1:5" x14ac:dyDescent="0.15">
      <c r="A148" s="4" t="s">
        <v>55</v>
      </c>
      <c r="B148" s="4" t="s">
        <v>49</v>
      </c>
      <c r="C148">
        <v>2977</v>
      </c>
      <c r="D148">
        <v>1237</v>
      </c>
      <c r="E148">
        <v>4438</v>
      </c>
    </row>
    <row r="149" spans="1:5" x14ac:dyDescent="0.15">
      <c r="A149" s="4" t="s">
        <v>56</v>
      </c>
      <c r="B149" s="4" t="s">
        <v>50</v>
      </c>
      <c r="C149">
        <v>1329</v>
      </c>
      <c r="D149">
        <v>1015</v>
      </c>
      <c r="E149">
        <v>3967</v>
      </c>
    </row>
    <row r="150" spans="1:5" x14ac:dyDescent="0.15">
      <c r="A150" s="4" t="s">
        <v>57</v>
      </c>
      <c r="B150" s="4" t="s">
        <v>51</v>
      </c>
      <c r="C150">
        <v>1858</v>
      </c>
      <c r="D150">
        <v>1312</v>
      </c>
      <c r="E150">
        <v>4305</v>
      </c>
    </row>
    <row r="151" spans="1:5" x14ac:dyDescent="0.15">
      <c r="A151" s="4" t="s">
        <v>58</v>
      </c>
      <c r="B151" s="4" t="s">
        <v>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AD53-098C-1944-8A65-4E3D628FA25F}">
  <dimension ref="A1:O24"/>
  <sheetViews>
    <sheetView workbookViewId="0">
      <selection activeCell="I24" sqref="I24"/>
    </sheetView>
  </sheetViews>
  <sheetFormatPr baseColWidth="10" defaultRowHeight="13" x14ac:dyDescent="0.15"/>
  <sheetData>
    <row r="1" spans="1:15" x14ac:dyDescent="0.15">
      <c r="A1" s="4" t="s">
        <v>14</v>
      </c>
      <c r="D1" s="4"/>
      <c r="E1" s="4"/>
      <c r="F1" s="4"/>
      <c r="G1" s="4"/>
    </row>
    <row r="2" spans="1:15" x14ac:dyDescent="0.15">
      <c r="B2" s="4" t="s">
        <v>20</v>
      </c>
      <c r="C2" s="4" t="s">
        <v>38</v>
      </c>
      <c r="D2" s="4" t="s">
        <v>39</v>
      </c>
      <c r="E2" s="4" t="s">
        <v>40</v>
      </c>
      <c r="F2" s="4" t="s">
        <v>6</v>
      </c>
      <c r="G2" s="4" t="s">
        <v>41</v>
      </c>
    </row>
    <row r="3" spans="1:15" x14ac:dyDescent="0.15">
      <c r="B3" s="4">
        <v>455</v>
      </c>
      <c r="C3">
        <f>SQRT((D3^2)+(E3^2))</f>
        <v>0</v>
      </c>
      <c r="D3">
        <v>0</v>
      </c>
      <c r="E3">
        <v>0</v>
      </c>
      <c r="F3">
        <v>3</v>
      </c>
      <c r="G3">
        <f>C3/B3</f>
        <v>0</v>
      </c>
      <c r="N3" s="4">
        <v>455</v>
      </c>
      <c r="O3" s="1">
        <v>455</v>
      </c>
    </row>
    <row r="4" spans="1:15" x14ac:dyDescent="0.15">
      <c r="B4" s="4">
        <v>573</v>
      </c>
      <c r="C4">
        <f t="shared" ref="C4:C24" si="0">SQRT((D4^2)+(E4^2))</f>
        <v>0</v>
      </c>
      <c r="D4">
        <v>0</v>
      </c>
      <c r="E4">
        <v>0</v>
      </c>
      <c r="F4">
        <v>4</v>
      </c>
      <c r="G4">
        <f t="shared" ref="G4:G24" si="1">C4/B4</f>
        <v>0</v>
      </c>
      <c r="N4" s="4">
        <v>573</v>
      </c>
      <c r="O4" s="1">
        <v>546</v>
      </c>
    </row>
    <row r="5" spans="1:15" x14ac:dyDescent="0.15">
      <c r="B5" s="4">
        <v>678</v>
      </c>
      <c r="C5">
        <f t="shared" si="0"/>
        <v>0</v>
      </c>
      <c r="D5">
        <v>0</v>
      </c>
      <c r="E5">
        <v>0</v>
      </c>
      <c r="F5">
        <v>5</v>
      </c>
      <c r="G5">
        <f t="shared" si="1"/>
        <v>0</v>
      </c>
      <c r="N5" s="4">
        <v>678</v>
      </c>
      <c r="O5" s="1">
        <v>690</v>
      </c>
    </row>
    <row r="6" spans="1:15" x14ac:dyDescent="0.15">
      <c r="B6" s="4">
        <v>741</v>
      </c>
      <c r="C6">
        <f t="shared" si="0"/>
        <v>240.80074750714542</v>
      </c>
      <c r="D6">
        <v>68</v>
      </c>
      <c r="E6">
        <v>231</v>
      </c>
      <c r="F6">
        <v>6</v>
      </c>
      <c r="G6">
        <f t="shared" si="1"/>
        <v>0.32496727058993985</v>
      </c>
      <c r="N6" s="4">
        <v>741</v>
      </c>
      <c r="O6" s="1">
        <v>744</v>
      </c>
    </row>
    <row r="7" spans="1:15" x14ac:dyDescent="0.15">
      <c r="B7" s="4">
        <v>1046</v>
      </c>
      <c r="C7">
        <f t="shared" si="0"/>
        <v>508.64624249079043</v>
      </c>
      <c r="D7">
        <v>140</v>
      </c>
      <c r="E7">
        <v>489</v>
      </c>
      <c r="F7">
        <v>7</v>
      </c>
      <c r="G7">
        <f t="shared" si="1"/>
        <v>0.4862774784806792</v>
      </c>
      <c r="N7" s="4">
        <v>1046</v>
      </c>
      <c r="O7" s="1">
        <v>1016</v>
      </c>
    </row>
    <row r="8" spans="1:15" x14ac:dyDescent="0.15">
      <c r="B8" s="4">
        <v>1089</v>
      </c>
      <c r="C8">
        <f t="shared" si="0"/>
        <v>719.68555633693245</v>
      </c>
      <c r="D8">
        <v>405.9</v>
      </c>
      <c r="E8">
        <v>594.29999999999995</v>
      </c>
      <c r="F8">
        <v>8</v>
      </c>
      <c r="G8">
        <f t="shared" si="1"/>
        <v>0.66086827946458448</v>
      </c>
      <c r="N8" s="4">
        <v>1089</v>
      </c>
      <c r="O8" s="1">
        <v>1062</v>
      </c>
    </row>
    <row r="9" spans="1:15" x14ac:dyDescent="0.15">
      <c r="B9" s="4">
        <v>1109</v>
      </c>
      <c r="C9">
        <f t="shared" si="0"/>
        <v>721.21216018589155</v>
      </c>
      <c r="D9">
        <v>197.3</v>
      </c>
      <c r="E9">
        <v>693.7</v>
      </c>
      <c r="F9">
        <v>9</v>
      </c>
      <c r="G9">
        <f t="shared" si="1"/>
        <v>0.65032656464011862</v>
      </c>
      <c r="N9" s="4">
        <v>1109</v>
      </c>
      <c r="O9" s="1">
        <v>1104</v>
      </c>
    </row>
    <row r="10" spans="1:15" x14ac:dyDescent="0.15">
      <c r="B10" s="4">
        <v>1241</v>
      </c>
      <c r="C10">
        <f t="shared" si="0"/>
        <v>851.79415353710897</v>
      </c>
      <c r="D10" s="4">
        <v>267.2</v>
      </c>
      <c r="E10">
        <v>808.8</v>
      </c>
      <c r="F10">
        <v>10</v>
      </c>
      <c r="G10">
        <f t="shared" si="1"/>
        <v>0.68637723895012814</v>
      </c>
      <c r="N10" s="4">
        <v>1241</v>
      </c>
      <c r="O10" s="1">
        <v>1208</v>
      </c>
    </row>
    <row r="11" spans="1:15" x14ac:dyDescent="0.15">
      <c r="B11" s="4">
        <v>1294</v>
      </c>
      <c r="C11">
        <f t="shared" si="0"/>
        <v>920.73883376340768</v>
      </c>
      <c r="D11" s="4">
        <v>368</v>
      </c>
      <c r="E11">
        <v>844</v>
      </c>
      <c r="F11">
        <v>11</v>
      </c>
      <c r="G11">
        <f t="shared" si="1"/>
        <v>0.71154469378934138</v>
      </c>
      <c r="N11" s="4">
        <v>1294</v>
      </c>
      <c r="O11" s="1">
        <v>1282</v>
      </c>
    </row>
    <row r="12" spans="1:15" x14ac:dyDescent="0.15">
      <c r="B12" s="4">
        <v>1321</v>
      </c>
      <c r="C12">
        <f t="shared" si="0"/>
        <v>894.78991947830968</v>
      </c>
      <c r="D12" s="4">
        <v>300</v>
      </c>
      <c r="E12">
        <v>843</v>
      </c>
      <c r="F12">
        <v>12</v>
      </c>
      <c r="G12">
        <f t="shared" si="1"/>
        <v>0.67735800111908384</v>
      </c>
      <c r="N12" s="4">
        <v>1321</v>
      </c>
      <c r="O12" s="1">
        <v>1304</v>
      </c>
    </row>
    <row r="13" spans="1:15" x14ac:dyDescent="0.15">
      <c r="B13" s="4">
        <v>1373</v>
      </c>
      <c r="C13">
        <f t="shared" si="0"/>
        <v>842.51112752295444</v>
      </c>
      <c r="D13" s="4">
        <v>452</v>
      </c>
      <c r="E13">
        <v>711</v>
      </c>
      <c r="F13">
        <v>13</v>
      </c>
      <c r="G13">
        <f t="shared" si="1"/>
        <v>0.61362791516602655</v>
      </c>
      <c r="N13" s="4">
        <v>1373</v>
      </c>
      <c r="O13" s="1">
        <v>1369</v>
      </c>
    </row>
    <row r="14" spans="1:15" x14ac:dyDescent="0.15">
      <c r="B14" s="4">
        <v>1455</v>
      </c>
      <c r="C14">
        <f t="shared" si="0"/>
        <v>947.42440331669729</v>
      </c>
      <c r="D14" s="4">
        <v>563</v>
      </c>
      <c r="E14">
        <v>762</v>
      </c>
      <c r="F14">
        <v>14</v>
      </c>
      <c r="G14">
        <f t="shared" si="1"/>
        <v>0.65115079265752396</v>
      </c>
      <c r="N14" s="4">
        <v>1455</v>
      </c>
      <c r="O14" s="1">
        <v>1450</v>
      </c>
    </row>
    <row r="15" spans="1:15" x14ac:dyDescent="0.15">
      <c r="B15" s="4">
        <v>1646</v>
      </c>
      <c r="C15">
        <f t="shared" si="0"/>
        <v>1369.3976778131325</v>
      </c>
      <c r="D15" s="4">
        <v>415</v>
      </c>
      <c r="E15">
        <v>1305</v>
      </c>
      <c r="F15">
        <v>17</v>
      </c>
      <c r="G15">
        <f t="shared" si="1"/>
        <v>0.83195484678805132</v>
      </c>
      <c r="N15" s="4">
        <v>1646</v>
      </c>
      <c r="O15" s="1">
        <v>1637</v>
      </c>
    </row>
    <row r="16" spans="1:15" x14ac:dyDescent="0.15">
      <c r="B16" s="4">
        <v>1734</v>
      </c>
      <c r="C16">
        <f t="shared" si="0"/>
        <v>1315.7172948623879</v>
      </c>
      <c r="D16" s="4">
        <v>594</v>
      </c>
      <c r="E16">
        <v>1174</v>
      </c>
      <c r="F16">
        <v>18</v>
      </c>
      <c r="G16">
        <f t="shared" si="1"/>
        <v>0.75877583325397224</v>
      </c>
      <c r="N16" s="4">
        <v>1734</v>
      </c>
      <c r="O16" s="1">
        <v>1744</v>
      </c>
    </row>
    <row r="17" spans="2:15" x14ac:dyDescent="0.15">
      <c r="B17" s="4">
        <v>1780</v>
      </c>
      <c r="C17">
        <f t="shared" si="0"/>
        <v>1468.6813813758245</v>
      </c>
      <c r="D17" s="4">
        <v>375</v>
      </c>
      <c r="E17">
        <v>1420</v>
      </c>
      <c r="F17">
        <v>19</v>
      </c>
      <c r="G17">
        <f t="shared" si="1"/>
        <v>0.82510189964933955</v>
      </c>
      <c r="N17" s="4">
        <v>1780</v>
      </c>
      <c r="O17" s="1">
        <v>1777</v>
      </c>
    </row>
    <row r="18" spans="2:15" x14ac:dyDescent="0.15">
      <c r="B18" s="4">
        <v>1782</v>
      </c>
      <c r="C18">
        <f t="shared" si="0"/>
        <v>1459.47147968023</v>
      </c>
      <c r="D18" s="4">
        <v>576</v>
      </c>
      <c r="E18">
        <v>1341</v>
      </c>
      <c r="F18">
        <v>20</v>
      </c>
      <c r="G18">
        <f t="shared" si="1"/>
        <v>0.81900756435478672</v>
      </c>
      <c r="N18" s="4">
        <v>1782</v>
      </c>
      <c r="O18" s="1">
        <v>1751</v>
      </c>
    </row>
    <row r="19" spans="2:15" x14ac:dyDescent="0.15">
      <c r="B19" s="4">
        <v>1832</v>
      </c>
      <c r="C19">
        <f t="shared" si="0"/>
        <v>1723.7009601436091</v>
      </c>
      <c r="D19" s="4">
        <v>668</v>
      </c>
      <c r="E19">
        <v>1589</v>
      </c>
      <c r="F19">
        <v>21</v>
      </c>
      <c r="G19">
        <f t="shared" si="1"/>
        <v>0.94088480357183901</v>
      </c>
      <c r="N19" s="4">
        <v>1832</v>
      </c>
      <c r="O19" s="1">
        <v>1830</v>
      </c>
    </row>
    <row r="20" spans="2:15" x14ac:dyDescent="0.15">
      <c r="B20" s="4">
        <v>1953</v>
      </c>
      <c r="C20">
        <f t="shared" si="0"/>
        <v>1827.313328359425</v>
      </c>
      <c r="D20" s="4">
        <v>707</v>
      </c>
      <c r="E20">
        <v>1685</v>
      </c>
      <c r="F20">
        <v>22</v>
      </c>
      <c r="G20">
        <f t="shared" si="1"/>
        <v>0.93564430535556831</v>
      </c>
      <c r="N20" s="4">
        <v>1953</v>
      </c>
      <c r="O20" s="1">
        <v>1943</v>
      </c>
    </row>
    <row r="21" spans="2:15" x14ac:dyDescent="0.15">
      <c r="B21" s="4">
        <v>1952</v>
      </c>
      <c r="C21">
        <f t="shared" si="0"/>
        <v>1730.5733154073537</v>
      </c>
      <c r="D21" s="4">
        <v>728</v>
      </c>
      <c r="E21">
        <v>1570</v>
      </c>
      <c r="F21">
        <v>23</v>
      </c>
      <c r="G21">
        <f t="shared" si="1"/>
        <v>0.88656419846688206</v>
      </c>
      <c r="N21" s="4">
        <v>1952</v>
      </c>
      <c r="O21" s="1">
        <v>1936</v>
      </c>
    </row>
    <row r="22" spans="2:15" x14ac:dyDescent="0.15">
      <c r="B22" s="4">
        <v>1919</v>
      </c>
      <c r="C22">
        <f t="shared" si="0"/>
        <v>1754.0071265533672</v>
      </c>
      <c r="D22" s="4">
        <v>670</v>
      </c>
      <c r="E22">
        <v>1621</v>
      </c>
      <c r="F22">
        <v>24</v>
      </c>
      <c r="G22">
        <f t="shared" si="1"/>
        <v>0.91402143124198398</v>
      </c>
      <c r="N22" s="4">
        <v>1919</v>
      </c>
      <c r="O22" s="1">
        <v>1901</v>
      </c>
    </row>
    <row r="23" spans="2:15" x14ac:dyDescent="0.15">
      <c r="B23" s="4">
        <v>1992</v>
      </c>
      <c r="C23">
        <f t="shared" si="0"/>
        <v>1656.7573751156203</v>
      </c>
      <c r="D23" s="4">
        <v>666</v>
      </c>
      <c r="E23">
        <v>1517</v>
      </c>
      <c r="F23">
        <v>26</v>
      </c>
      <c r="G23">
        <f t="shared" si="1"/>
        <v>0.83170550959619494</v>
      </c>
      <c r="N23" s="4">
        <v>1992</v>
      </c>
      <c r="O23" s="1">
        <v>1995</v>
      </c>
    </row>
    <row r="24" spans="2:15" x14ac:dyDescent="0.15">
      <c r="B24" s="4">
        <v>2101</v>
      </c>
      <c r="C24">
        <f t="shared" si="0"/>
        <v>1961.1590960449894</v>
      </c>
      <c r="D24" s="4">
        <v>897</v>
      </c>
      <c r="E24">
        <v>1744</v>
      </c>
      <c r="F24">
        <v>27</v>
      </c>
      <c r="G24">
        <f t="shared" si="1"/>
        <v>0.93344078821751042</v>
      </c>
      <c r="N24" s="4">
        <v>2101</v>
      </c>
      <c r="O24" s="1">
        <v>2022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29426-30E4-534C-A111-8CAA1D85B570}">
  <dimension ref="A1:AA73"/>
  <sheetViews>
    <sheetView tabSelected="1" topLeftCell="A24" workbookViewId="0">
      <selection activeCell="R54" sqref="R54"/>
    </sheetView>
  </sheetViews>
  <sheetFormatPr baseColWidth="10" defaultRowHeight="13" x14ac:dyDescent="0.15"/>
  <sheetData>
    <row r="1" spans="1:27" x14ac:dyDescent="0.15">
      <c r="A1" s="4" t="s">
        <v>24</v>
      </c>
      <c r="B1" s="4" t="s">
        <v>6</v>
      </c>
      <c r="C1" s="4" t="s">
        <v>59</v>
      </c>
      <c r="D1" s="4" t="s">
        <v>60</v>
      </c>
      <c r="E1" s="4" t="s">
        <v>61</v>
      </c>
      <c r="G1" s="4" t="s">
        <v>14</v>
      </c>
      <c r="L1" s="4" t="s">
        <v>15</v>
      </c>
      <c r="Q1" s="4" t="s">
        <v>64</v>
      </c>
      <c r="R1" s="4" t="s">
        <v>67</v>
      </c>
      <c r="S1" s="4" t="s">
        <v>68</v>
      </c>
      <c r="U1" s="4" t="s">
        <v>65</v>
      </c>
      <c r="V1" s="4" t="s">
        <v>67</v>
      </c>
      <c r="Y1" s="4" t="s">
        <v>66</v>
      </c>
    </row>
    <row r="2" spans="1:27" x14ac:dyDescent="0.15">
      <c r="B2">
        <v>39</v>
      </c>
      <c r="C2">
        <v>137</v>
      </c>
      <c r="D2">
        <v>118</v>
      </c>
      <c r="E2">
        <v>4434</v>
      </c>
      <c r="G2" s="4" t="s">
        <v>6</v>
      </c>
      <c r="H2" s="4" t="s">
        <v>62</v>
      </c>
      <c r="I2" s="4" t="s">
        <v>63</v>
      </c>
      <c r="J2" s="4" t="s">
        <v>61</v>
      </c>
      <c r="L2" s="4" t="s">
        <v>6</v>
      </c>
      <c r="Q2">
        <v>39</v>
      </c>
      <c r="R2">
        <f>C2/E2</f>
        <v>3.0897609382047813E-2</v>
      </c>
      <c r="S2">
        <f>D2/E2</f>
        <v>2.6612539467749212E-2</v>
      </c>
      <c r="U2">
        <v>37</v>
      </c>
      <c r="V2">
        <f>H3/J3</f>
        <v>9.0284360189573462E-2</v>
      </c>
      <c r="W2">
        <f>I3/J3</f>
        <v>3.5545023696682464E-2</v>
      </c>
      <c r="Y2">
        <v>39</v>
      </c>
      <c r="Z2">
        <f>M3/O3</f>
        <v>8.4823375490623631E-2</v>
      </c>
      <c r="AA2">
        <f>N3/O3</f>
        <v>4.0340165721761884E-2</v>
      </c>
    </row>
    <row r="3" spans="1:27" x14ac:dyDescent="0.15">
      <c r="B3">
        <v>40</v>
      </c>
      <c r="C3">
        <v>466</v>
      </c>
      <c r="D3">
        <v>218</v>
      </c>
      <c r="E3">
        <v>4632</v>
      </c>
      <c r="G3">
        <v>37</v>
      </c>
      <c r="H3">
        <v>381</v>
      </c>
      <c r="I3">
        <v>150</v>
      </c>
      <c r="J3">
        <v>4220</v>
      </c>
      <c r="L3">
        <v>39</v>
      </c>
      <c r="M3">
        <v>389</v>
      </c>
      <c r="N3">
        <v>185</v>
      </c>
      <c r="O3">
        <v>4586</v>
      </c>
      <c r="Q3">
        <v>40</v>
      </c>
      <c r="R3">
        <f t="shared" ref="R3:R29" si="0">C3/E3</f>
        <v>0.10060449050086356</v>
      </c>
      <c r="S3">
        <f t="shared" ref="S3:S26" si="1">D3/E3</f>
        <v>4.706390328151986E-2</v>
      </c>
      <c r="U3">
        <v>38</v>
      </c>
      <c r="V3">
        <f t="shared" ref="V3:V40" si="2">H4/J4</f>
        <v>0.11650932535113977</v>
      </c>
      <c r="W3">
        <f t="shared" ref="W3:W30" si="3">I4/J4</f>
        <v>4.8583928160257889E-2</v>
      </c>
      <c r="Y3">
        <v>40</v>
      </c>
      <c r="Z3">
        <f t="shared" ref="Z3:Z39" si="4">M4/O4</f>
        <v>0.11962701842165113</v>
      </c>
      <c r="AA3">
        <f t="shared" ref="AA3:AA28" si="5">N4/O4</f>
        <v>5.3900386627245847E-2</v>
      </c>
    </row>
    <row r="4" spans="1:27" x14ac:dyDescent="0.15">
      <c r="B4">
        <v>41</v>
      </c>
      <c r="C4">
        <v>518</v>
      </c>
      <c r="D4">
        <v>254</v>
      </c>
      <c r="E4">
        <v>4480</v>
      </c>
      <c r="G4">
        <v>38</v>
      </c>
      <c r="H4">
        <v>506</v>
      </c>
      <c r="I4">
        <v>211</v>
      </c>
      <c r="J4">
        <v>4343</v>
      </c>
      <c r="L4">
        <v>40</v>
      </c>
      <c r="M4">
        <v>526</v>
      </c>
      <c r="N4">
        <v>237</v>
      </c>
      <c r="O4">
        <v>4397</v>
      </c>
      <c r="Q4">
        <v>41</v>
      </c>
      <c r="R4">
        <f t="shared" si="0"/>
        <v>0.11562500000000001</v>
      </c>
      <c r="S4">
        <f t="shared" si="1"/>
        <v>5.6696428571428571E-2</v>
      </c>
      <c r="U4">
        <v>39</v>
      </c>
      <c r="V4">
        <f t="shared" si="2"/>
        <v>0.18133640552995392</v>
      </c>
      <c r="W4">
        <f t="shared" si="3"/>
        <v>9.1244239631336405E-2</v>
      </c>
      <c r="Y4">
        <v>41</v>
      </c>
      <c r="Z4">
        <f t="shared" si="4"/>
        <v>0.12779184895233708</v>
      </c>
      <c r="AA4">
        <f t="shared" si="5"/>
        <v>5.7103384757080357E-2</v>
      </c>
    </row>
    <row r="5" spans="1:27" x14ac:dyDescent="0.15">
      <c r="B5">
        <v>42</v>
      </c>
      <c r="C5">
        <v>642</v>
      </c>
      <c r="D5">
        <v>275</v>
      </c>
      <c r="E5">
        <v>4523</v>
      </c>
      <c r="G5">
        <v>39</v>
      </c>
      <c r="H5" s="8">
        <v>787</v>
      </c>
      <c r="I5" s="8">
        <v>396</v>
      </c>
      <c r="J5" s="8">
        <v>4340</v>
      </c>
      <c r="L5">
        <v>41</v>
      </c>
      <c r="M5">
        <v>555</v>
      </c>
      <c r="N5">
        <v>248</v>
      </c>
      <c r="O5">
        <v>4343</v>
      </c>
      <c r="Q5">
        <v>42</v>
      </c>
      <c r="R5">
        <f t="shared" si="0"/>
        <v>0.1419411894760115</v>
      </c>
      <c r="S5">
        <f t="shared" si="1"/>
        <v>6.0800353747512713E-2</v>
      </c>
      <c r="U5">
        <v>40</v>
      </c>
      <c r="V5">
        <f t="shared" si="2"/>
        <v>0.19377880184331797</v>
      </c>
      <c r="W5">
        <f t="shared" si="3"/>
        <v>9.5161290322580638E-2</v>
      </c>
      <c r="Y5">
        <v>42</v>
      </c>
      <c r="Z5">
        <f t="shared" si="4"/>
        <v>0.18697674418604651</v>
      </c>
      <c r="AA5">
        <f t="shared" si="5"/>
        <v>7.9302325581395355E-2</v>
      </c>
    </row>
    <row r="6" spans="1:27" x14ac:dyDescent="0.15">
      <c r="B6">
        <v>43</v>
      </c>
      <c r="C6">
        <v>649</v>
      </c>
      <c r="D6">
        <v>327</v>
      </c>
      <c r="E6">
        <v>4362</v>
      </c>
      <c r="G6">
        <v>40</v>
      </c>
      <c r="H6" s="8">
        <v>841</v>
      </c>
      <c r="I6" s="8">
        <v>413</v>
      </c>
      <c r="J6" s="8">
        <v>4340</v>
      </c>
      <c r="L6">
        <v>42</v>
      </c>
      <c r="M6" s="8">
        <v>804</v>
      </c>
      <c r="N6" s="8">
        <v>341</v>
      </c>
      <c r="O6" s="8">
        <v>4300</v>
      </c>
      <c r="Q6">
        <v>43</v>
      </c>
      <c r="R6">
        <f t="shared" si="0"/>
        <v>0.1487849610270518</v>
      </c>
      <c r="S6">
        <f t="shared" si="1"/>
        <v>7.4965612104539198E-2</v>
      </c>
      <c r="U6">
        <v>41</v>
      </c>
      <c r="V6">
        <f t="shared" si="2"/>
        <v>0.17136258660508083</v>
      </c>
      <c r="W6">
        <f t="shared" si="3"/>
        <v>8.1524249422632797E-2</v>
      </c>
      <c r="Y6">
        <v>43</v>
      </c>
      <c r="Z6">
        <f t="shared" si="4"/>
        <v>0.20837209302325582</v>
      </c>
      <c r="AA6">
        <f t="shared" si="5"/>
        <v>0.09</v>
      </c>
    </row>
    <row r="7" spans="1:27" x14ac:dyDescent="0.15">
      <c r="B7">
        <v>44</v>
      </c>
      <c r="C7">
        <v>826</v>
      </c>
      <c r="D7">
        <v>464</v>
      </c>
      <c r="E7">
        <v>4538</v>
      </c>
      <c r="G7">
        <v>41</v>
      </c>
      <c r="H7">
        <v>742</v>
      </c>
      <c r="I7">
        <v>353</v>
      </c>
      <c r="J7">
        <v>4330</v>
      </c>
      <c r="L7">
        <v>43</v>
      </c>
      <c r="M7" s="8">
        <v>896</v>
      </c>
      <c r="N7" s="8">
        <v>387</v>
      </c>
      <c r="O7" s="8">
        <v>4300</v>
      </c>
      <c r="Q7">
        <v>44</v>
      </c>
      <c r="R7">
        <f t="shared" si="0"/>
        <v>0.18201851035698546</v>
      </c>
      <c r="S7">
        <f t="shared" si="1"/>
        <v>0.10224768620537682</v>
      </c>
      <c r="U7">
        <v>42</v>
      </c>
      <c r="V7">
        <f t="shared" si="2"/>
        <v>0.19247787610619468</v>
      </c>
      <c r="W7">
        <f t="shared" si="3"/>
        <v>0.10110619469026548</v>
      </c>
      <c r="Y7">
        <v>44</v>
      </c>
      <c r="Z7">
        <f t="shared" si="4"/>
        <v>0.20102851799906499</v>
      </c>
      <c r="AA7">
        <f t="shared" si="5"/>
        <v>0.10051425899953249</v>
      </c>
    </row>
    <row r="8" spans="1:27" x14ac:dyDescent="0.15">
      <c r="B8">
        <v>45</v>
      </c>
      <c r="C8">
        <v>885</v>
      </c>
      <c r="D8">
        <v>410</v>
      </c>
      <c r="E8">
        <v>4525</v>
      </c>
      <c r="G8">
        <v>42</v>
      </c>
      <c r="H8">
        <v>870</v>
      </c>
      <c r="I8">
        <v>457</v>
      </c>
      <c r="J8">
        <v>4520</v>
      </c>
      <c r="L8">
        <v>44</v>
      </c>
      <c r="M8">
        <v>860</v>
      </c>
      <c r="N8">
        <v>430</v>
      </c>
      <c r="O8">
        <v>4278</v>
      </c>
      <c r="Q8">
        <v>45</v>
      </c>
      <c r="R8">
        <f t="shared" si="0"/>
        <v>0.19558011049723756</v>
      </c>
      <c r="S8">
        <f t="shared" si="1"/>
        <v>9.0607734806629828E-2</v>
      </c>
      <c r="U8">
        <v>43</v>
      </c>
      <c r="V8">
        <f t="shared" si="2"/>
        <v>0.21576486305945225</v>
      </c>
      <c r="W8">
        <f t="shared" si="3"/>
        <v>0.10866176798040525</v>
      </c>
      <c r="Y8">
        <v>45</v>
      </c>
      <c r="Z8">
        <f t="shared" si="4"/>
        <v>0.22703721149317005</v>
      </c>
      <c r="AA8">
        <f t="shared" si="5"/>
        <v>0.1048045219029675</v>
      </c>
    </row>
    <row r="9" spans="1:27" x14ac:dyDescent="0.15">
      <c r="B9">
        <v>46</v>
      </c>
      <c r="C9">
        <v>1037</v>
      </c>
      <c r="D9">
        <v>461</v>
      </c>
      <c r="E9">
        <v>4503</v>
      </c>
      <c r="G9">
        <v>43</v>
      </c>
      <c r="H9">
        <v>969</v>
      </c>
      <c r="I9">
        <v>488</v>
      </c>
      <c r="J9">
        <v>4491</v>
      </c>
      <c r="L9">
        <v>45</v>
      </c>
      <c r="M9">
        <v>964</v>
      </c>
      <c r="N9">
        <v>445</v>
      </c>
      <c r="O9">
        <v>4246</v>
      </c>
      <c r="Q9">
        <v>46</v>
      </c>
      <c r="R9">
        <f t="shared" si="0"/>
        <v>0.23029091716633354</v>
      </c>
      <c r="S9">
        <f t="shared" si="1"/>
        <v>0.10237619364867866</v>
      </c>
      <c r="U9">
        <v>44</v>
      </c>
      <c r="V9">
        <f t="shared" si="2"/>
        <v>0.27124966693312019</v>
      </c>
      <c r="W9">
        <f t="shared" si="3"/>
        <v>0.12789768185451639</v>
      </c>
      <c r="Y9">
        <v>46</v>
      </c>
      <c r="Z9">
        <f t="shared" si="4"/>
        <v>0.24753867791842477</v>
      </c>
      <c r="AA9">
        <f t="shared" si="5"/>
        <v>0.10900140646976091</v>
      </c>
    </row>
    <row r="10" spans="1:27" x14ac:dyDescent="0.15">
      <c r="B10">
        <v>47</v>
      </c>
      <c r="C10">
        <v>954</v>
      </c>
      <c r="D10">
        <v>508</v>
      </c>
      <c r="E10">
        <v>4377</v>
      </c>
      <c r="G10">
        <v>44</v>
      </c>
      <c r="H10">
        <v>1018</v>
      </c>
      <c r="I10">
        <v>480</v>
      </c>
      <c r="J10">
        <v>3753</v>
      </c>
      <c r="L10">
        <v>46</v>
      </c>
      <c r="M10">
        <v>1056</v>
      </c>
      <c r="N10">
        <v>465</v>
      </c>
      <c r="O10">
        <v>4266</v>
      </c>
      <c r="Q10">
        <v>47</v>
      </c>
      <c r="R10">
        <f t="shared" si="0"/>
        <v>0.21795750514050719</v>
      </c>
      <c r="S10">
        <f t="shared" si="1"/>
        <v>0.11606122915238748</v>
      </c>
      <c r="U10">
        <v>45</v>
      </c>
      <c r="V10">
        <f t="shared" si="2"/>
        <v>0.26689604325387073</v>
      </c>
      <c r="W10">
        <f t="shared" si="3"/>
        <v>0.12410911771934136</v>
      </c>
      <c r="Y10">
        <v>47</v>
      </c>
      <c r="Z10">
        <f t="shared" si="4"/>
        <v>0.26737720111214086</v>
      </c>
      <c r="AA10">
        <f t="shared" si="5"/>
        <v>0.12604263206672844</v>
      </c>
    </row>
    <row r="11" spans="1:27" x14ac:dyDescent="0.15">
      <c r="B11">
        <v>48</v>
      </c>
      <c r="C11">
        <v>1030</v>
      </c>
      <c r="D11">
        <v>515</v>
      </c>
      <c r="E11">
        <v>4600</v>
      </c>
      <c r="G11">
        <v>45</v>
      </c>
      <c r="H11">
        <v>1086</v>
      </c>
      <c r="I11">
        <v>505</v>
      </c>
      <c r="J11">
        <v>4069</v>
      </c>
      <c r="L11">
        <v>47</v>
      </c>
      <c r="M11">
        <v>1154</v>
      </c>
      <c r="N11">
        <v>544</v>
      </c>
      <c r="O11">
        <v>4316</v>
      </c>
      <c r="Q11">
        <v>48</v>
      </c>
      <c r="R11">
        <f t="shared" si="0"/>
        <v>0.22391304347826088</v>
      </c>
      <c r="S11">
        <f t="shared" si="1"/>
        <v>0.11195652173913044</v>
      </c>
      <c r="U11">
        <v>46</v>
      </c>
      <c r="V11">
        <f t="shared" si="2"/>
        <v>0.25204918032786883</v>
      </c>
      <c r="W11">
        <f t="shared" si="3"/>
        <v>0.13023679417122039</v>
      </c>
      <c r="Y11">
        <v>48</v>
      </c>
      <c r="Z11">
        <f t="shared" si="4"/>
        <v>0.27390560039129369</v>
      </c>
      <c r="AA11">
        <f t="shared" si="5"/>
        <v>0.123991195891416</v>
      </c>
    </row>
    <row r="12" spans="1:27" x14ac:dyDescent="0.15">
      <c r="B12">
        <v>49</v>
      </c>
      <c r="C12">
        <v>1077</v>
      </c>
      <c r="D12">
        <v>550</v>
      </c>
      <c r="E12">
        <v>4602</v>
      </c>
      <c r="G12">
        <v>46</v>
      </c>
      <c r="H12">
        <v>1107</v>
      </c>
      <c r="I12">
        <v>572</v>
      </c>
      <c r="J12">
        <v>4392</v>
      </c>
      <c r="L12">
        <v>48</v>
      </c>
      <c r="M12">
        <v>1120</v>
      </c>
      <c r="N12">
        <v>507</v>
      </c>
      <c r="O12">
        <v>4089</v>
      </c>
      <c r="Q12">
        <v>49</v>
      </c>
      <c r="R12">
        <f t="shared" si="0"/>
        <v>0.23402868318122555</v>
      </c>
      <c r="S12">
        <f t="shared" si="1"/>
        <v>0.11951325510647545</v>
      </c>
      <c r="U12">
        <v>47</v>
      </c>
      <c r="V12">
        <f t="shared" si="2"/>
        <v>0.26412180052956752</v>
      </c>
      <c r="W12">
        <f t="shared" si="3"/>
        <v>0.11915269196822595</v>
      </c>
      <c r="Y12">
        <v>49</v>
      </c>
      <c r="Z12">
        <f t="shared" si="4"/>
        <v>0.30128050253684463</v>
      </c>
      <c r="AA12">
        <f t="shared" si="5"/>
        <v>0.13650640251268423</v>
      </c>
    </row>
    <row r="13" spans="1:27" x14ac:dyDescent="0.15">
      <c r="B13">
        <v>50</v>
      </c>
      <c r="C13" s="8">
        <v>1235</v>
      </c>
      <c r="D13" s="8">
        <v>603</v>
      </c>
      <c r="E13" s="8">
        <v>4600</v>
      </c>
      <c r="G13">
        <v>47</v>
      </c>
      <c r="H13">
        <v>1197</v>
      </c>
      <c r="I13">
        <v>540</v>
      </c>
      <c r="J13">
        <v>4532</v>
      </c>
      <c r="L13">
        <v>49</v>
      </c>
      <c r="M13">
        <v>1247</v>
      </c>
      <c r="N13">
        <v>565</v>
      </c>
      <c r="O13">
        <v>4139</v>
      </c>
      <c r="Q13">
        <v>50</v>
      </c>
      <c r="R13">
        <f t="shared" si="0"/>
        <v>0.26847826086956522</v>
      </c>
      <c r="S13">
        <f t="shared" si="1"/>
        <v>0.13108695652173913</v>
      </c>
      <c r="U13">
        <v>48</v>
      </c>
      <c r="V13">
        <f t="shared" si="2"/>
        <v>0.27344992050874406</v>
      </c>
      <c r="W13">
        <f t="shared" si="3"/>
        <v>0.1190097660685896</v>
      </c>
      <c r="Y13">
        <v>50</v>
      </c>
      <c r="Z13">
        <f t="shared" si="4"/>
        <v>0.3005362555374213</v>
      </c>
      <c r="AA13">
        <f t="shared" si="5"/>
        <v>0.13219864770342737</v>
      </c>
    </row>
    <row r="14" spans="1:27" x14ac:dyDescent="0.15">
      <c r="B14">
        <v>51</v>
      </c>
      <c r="C14" s="8">
        <v>1311</v>
      </c>
      <c r="D14" s="8">
        <v>638</v>
      </c>
      <c r="E14" s="8">
        <v>4600</v>
      </c>
      <c r="G14">
        <v>48</v>
      </c>
      <c r="H14">
        <v>1204</v>
      </c>
      <c r="I14">
        <v>524</v>
      </c>
      <c r="J14">
        <v>4403</v>
      </c>
      <c r="L14">
        <v>50</v>
      </c>
      <c r="M14">
        <v>1289</v>
      </c>
      <c r="N14">
        <v>567</v>
      </c>
      <c r="O14">
        <v>4289</v>
      </c>
      <c r="Q14">
        <v>51</v>
      </c>
      <c r="R14">
        <f t="shared" si="0"/>
        <v>0.28499999999999998</v>
      </c>
      <c r="S14">
        <f t="shared" si="1"/>
        <v>0.13869565217391305</v>
      </c>
      <c r="U14">
        <v>49</v>
      </c>
      <c r="V14">
        <f t="shared" si="2"/>
        <v>0.28341754708314193</v>
      </c>
      <c r="W14">
        <f t="shared" si="3"/>
        <v>0.13596692696371154</v>
      </c>
      <c r="Y14">
        <v>51</v>
      </c>
      <c r="Z14">
        <f t="shared" si="4"/>
        <v>0.32512892639474916</v>
      </c>
      <c r="AA14">
        <f t="shared" si="5"/>
        <v>0.16104078762306612</v>
      </c>
    </row>
    <row r="15" spans="1:27" x14ac:dyDescent="0.15">
      <c r="B15">
        <v>52</v>
      </c>
      <c r="C15">
        <v>1372</v>
      </c>
      <c r="D15">
        <v>646</v>
      </c>
      <c r="E15">
        <v>4581</v>
      </c>
      <c r="G15">
        <v>49</v>
      </c>
      <c r="H15">
        <v>1234</v>
      </c>
      <c r="I15">
        <v>592</v>
      </c>
      <c r="J15">
        <v>4354</v>
      </c>
      <c r="L15">
        <v>51</v>
      </c>
      <c r="M15">
        <v>1387</v>
      </c>
      <c r="N15">
        <v>687</v>
      </c>
      <c r="O15">
        <v>4266</v>
      </c>
      <c r="Q15">
        <v>52</v>
      </c>
      <c r="R15">
        <f t="shared" si="0"/>
        <v>0.29949792621698318</v>
      </c>
      <c r="S15">
        <f t="shared" si="1"/>
        <v>0.14101724514298189</v>
      </c>
      <c r="U15">
        <v>50</v>
      </c>
      <c r="V15">
        <f t="shared" si="2"/>
        <v>0.30185652074260827</v>
      </c>
      <c r="W15">
        <f t="shared" si="3"/>
        <v>0.12835205134082053</v>
      </c>
      <c r="Y15">
        <v>52</v>
      </c>
      <c r="Z15">
        <f t="shared" si="4"/>
        <v>0.36808359059605794</v>
      </c>
      <c r="AA15">
        <f t="shared" si="5"/>
        <v>0.14367133697459036</v>
      </c>
    </row>
    <row r="16" spans="1:27" x14ac:dyDescent="0.15">
      <c r="B16">
        <v>53</v>
      </c>
      <c r="C16">
        <v>1345</v>
      </c>
      <c r="D16">
        <v>707</v>
      </c>
      <c r="E16">
        <v>4622</v>
      </c>
      <c r="G16">
        <v>50</v>
      </c>
      <c r="H16">
        <v>1317</v>
      </c>
      <c r="I16">
        <v>560</v>
      </c>
      <c r="J16">
        <v>4363</v>
      </c>
      <c r="L16">
        <v>52</v>
      </c>
      <c r="M16">
        <v>1550</v>
      </c>
      <c r="N16">
        <v>605</v>
      </c>
      <c r="O16">
        <v>4211</v>
      </c>
      <c r="Q16">
        <v>53</v>
      </c>
      <c r="R16">
        <f t="shared" si="0"/>
        <v>0.29099956728688881</v>
      </c>
      <c r="S16">
        <f t="shared" si="1"/>
        <v>0.15296408481176979</v>
      </c>
      <c r="U16">
        <v>51</v>
      </c>
      <c r="V16">
        <f t="shared" si="2"/>
        <v>0.30509958415408184</v>
      </c>
      <c r="W16">
        <f t="shared" si="3"/>
        <v>0.1221273801707157</v>
      </c>
      <c r="Y16">
        <v>53</v>
      </c>
      <c r="Z16">
        <f t="shared" si="4"/>
        <v>0.36611374407582936</v>
      </c>
      <c r="AA16">
        <f t="shared" si="5"/>
        <v>0.15592417061611374</v>
      </c>
    </row>
    <row r="17" spans="2:27" x14ac:dyDescent="0.15">
      <c r="B17">
        <v>54</v>
      </c>
      <c r="C17">
        <v>1491</v>
      </c>
      <c r="D17">
        <v>798</v>
      </c>
      <c r="E17">
        <v>4328</v>
      </c>
      <c r="G17">
        <v>51</v>
      </c>
      <c r="H17">
        <v>1394</v>
      </c>
      <c r="I17">
        <v>558</v>
      </c>
      <c r="J17">
        <v>4569</v>
      </c>
      <c r="L17">
        <v>53</v>
      </c>
      <c r="M17">
        <v>1545</v>
      </c>
      <c r="N17">
        <v>658</v>
      </c>
      <c r="O17">
        <v>4220</v>
      </c>
      <c r="Q17">
        <v>54</v>
      </c>
      <c r="R17">
        <f t="shared" si="0"/>
        <v>0.34450092421441775</v>
      </c>
      <c r="S17">
        <f t="shared" si="1"/>
        <v>0.18438077634011091</v>
      </c>
      <c r="U17">
        <v>52</v>
      </c>
      <c r="V17">
        <f t="shared" si="2"/>
        <v>0.34511111111111109</v>
      </c>
      <c r="W17">
        <f t="shared" si="3"/>
        <v>0.14311111111111111</v>
      </c>
      <c r="Y17">
        <v>54</v>
      </c>
      <c r="Z17">
        <f t="shared" si="4"/>
        <v>0.44380952380952382</v>
      </c>
      <c r="AA17">
        <f t="shared" si="5"/>
        <v>0.20642857142857143</v>
      </c>
    </row>
    <row r="18" spans="2:27" x14ac:dyDescent="0.15">
      <c r="B18">
        <v>55</v>
      </c>
      <c r="C18">
        <v>1528</v>
      </c>
      <c r="D18">
        <v>698</v>
      </c>
      <c r="E18">
        <v>4380</v>
      </c>
      <c r="G18">
        <v>52</v>
      </c>
      <c r="H18" s="8">
        <v>1553</v>
      </c>
      <c r="I18" s="8">
        <v>644</v>
      </c>
      <c r="J18" s="8">
        <v>4500</v>
      </c>
      <c r="L18">
        <v>54</v>
      </c>
      <c r="M18" s="8">
        <v>1864</v>
      </c>
      <c r="N18" s="8">
        <v>867</v>
      </c>
      <c r="O18" s="8">
        <v>4200</v>
      </c>
      <c r="Q18">
        <v>55</v>
      </c>
      <c r="R18">
        <f t="shared" si="0"/>
        <v>0.34885844748858447</v>
      </c>
      <c r="S18">
        <f t="shared" si="1"/>
        <v>0.15936073059360731</v>
      </c>
      <c r="U18">
        <v>53</v>
      </c>
      <c r="V18">
        <f t="shared" si="2"/>
        <v>0.35777777777777775</v>
      </c>
      <c r="W18">
        <f t="shared" si="3"/>
        <v>0.14711111111111111</v>
      </c>
      <c r="Y18">
        <v>55</v>
      </c>
      <c r="Z18">
        <f t="shared" si="4"/>
        <v>0.46523809523809523</v>
      </c>
      <c r="AA18">
        <f t="shared" si="5"/>
        <v>0.21714285714285714</v>
      </c>
    </row>
    <row r="19" spans="2:27" x14ac:dyDescent="0.15">
      <c r="B19">
        <v>56</v>
      </c>
      <c r="C19">
        <v>1515</v>
      </c>
      <c r="D19">
        <v>770</v>
      </c>
      <c r="E19">
        <v>4767</v>
      </c>
      <c r="G19">
        <v>53</v>
      </c>
      <c r="H19" s="8">
        <v>1610</v>
      </c>
      <c r="I19" s="8">
        <v>662</v>
      </c>
      <c r="J19" s="8">
        <v>4500</v>
      </c>
      <c r="L19">
        <v>55</v>
      </c>
      <c r="M19" s="8">
        <v>1954</v>
      </c>
      <c r="N19" s="8">
        <v>912</v>
      </c>
      <c r="O19" s="8">
        <v>4200</v>
      </c>
      <c r="Q19">
        <v>56</v>
      </c>
      <c r="R19">
        <f t="shared" si="0"/>
        <v>0.31780994336060414</v>
      </c>
      <c r="S19">
        <f t="shared" si="1"/>
        <v>0.16152716593245228</v>
      </c>
      <c r="U19">
        <v>54</v>
      </c>
      <c r="V19">
        <f t="shared" si="2"/>
        <v>0.37022222222222223</v>
      </c>
      <c r="W19">
        <f t="shared" si="3"/>
        <v>0.15111111111111111</v>
      </c>
      <c r="Y19">
        <v>56</v>
      </c>
      <c r="Z19">
        <f t="shared" si="4"/>
        <v>0.43300457060380082</v>
      </c>
      <c r="AA19">
        <f t="shared" si="5"/>
        <v>0.17368294443108009</v>
      </c>
    </row>
    <row r="20" spans="2:27" x14ac:dyDescent="0.15">
      <c r="B20">
        <v>57</v>
      </c>
      <c r="C20">
        <v>1571</v>
      </c>
      <c r="D20">
        <v>835</v>
      </c>
      <c r="E20">
        <v>4543</v>
      </c>
      <c r="G20">
        <v>54</v>
      </c>
      <c r="H20" s="8">
        <v>1666</v>
      </c>
      <c r="I20" s="8">
        <v>680</v>
      </c>
      <c r="J20" s="8">
        <v>4500</v>
      </c>
      <c r="L20">
        <v>56</v>
      </c>
      <c r="M20">
        <v>1800</v>
      </c>
      <c r="N20">
        <v>722</v>
      </c>
      <c r="O20">
        <v>4157</v>
      </c>
      <c r="Q20">
        <v>57</v>
      </c>
      <c r="R20">
        <f t="shared" si="0"/>
        <v>0.34580673563724412</v>
      </c>
      <c r="S20">
        <f t="shared" si="1"/>
        <v>0.18379925159586177</v>
      </c>
      <c r="U20">
        <v>55</v>
      </c>
      <c r="V20">
        <f t="shared" si="2"/>
        <v>0.30967428293631505</v>
      </c>
      <c r="W20">
        <f t="shared" si="3"/>
        <v>0.16212931453573165</v>
      </c>
      <c r="Y20">
        <v>57</v>
      </c>
      <c r="Z20">
        <f t="shared" si="4"/>
        <v>0.473785013167345</v>
      </c>
      <c r="AA20">
        <f t="shared" si="5"/>
        <v>0.19798898731146755</v>
      </c>
    </row>
    <row r="21" spans="2:27" x14ac:dyDescent="0.15">
      <c r="B21">
        <v>58</v>
      </c>
      <c r="C21">
        <v>1648</v>
      </c>
      <c r="D21">
        <v>867</v>
      </c>
      <c r="E21">
        <v>4584</v>
      </c>
      <c r="G21">
        <v>55</v>
      </c>
      <c r="H21">
        <v>1274</v>
      </c>
      <c r="I21">
        <v>667</v>
      </c>
      <c r="J21">
        <v>4114</v>
      </c>
      <c r="L21">
        <v>57</v>
      </c>
      <c r="M21">
        <v>1979</v>
      </c>
      <c r="N21">
        <v>827</v>
      </c>
      <c r="O21">
        <v>4177</v>
      </c>
      <c r="Q21">
        <v>58</v>
      </c>
      <c r="R21">
        <f t="shared" si="0"/>
        <v>0.35951134380453753</v>
      </c>
      <c r="S21">
        <f t="shared" si="1"/>
        <v>0.18913612565445026</v>
      </c>
      <c r="U21">
        <v>56</v>
      </c>
      <c r="V21">
        <f t="shared" si="2"/>
        <v>0.34585432890517637</v>
      </c>
      <c r="W21">
        <f t="shared" si="3"/>
        <v>0.1591846083371507</v>
      </c>
      <c r="Y21">
        <v>58</v>
      </c>
      <c r="Z21">
        <f t="shared" si="4"/>
        <v>0.48534583821805394</v>
      </c>
      <c r="AA21">
        <f t="shared" si="5"/>
        <v>0.15123094958968347</v>
      </c>
    </row>
    <row r="22" spans="2:27" x14ac:dyDescent="0.15">
      <c r="B22">
        <v>59</v>
      </c>
      <c r="C22">
        <v>1819</v>
      </c>
      <c r="D22">
        <v>750</v>
      </c>
      <c r="E22">
        <v>4584</v>
      </c>
      <c r="G22">
        <v>56</v>
      </c>
      <c r="H22">
        <v>1510</v>
      </c>
      <c r="I22">
        <v>695</v>
      </c>
      <c r="J22">
        <v>4366</v>
      </c>
      <c r="L22">
        <v>58</v>
      </c>
      <c r="M22">
        <v>2070</v>
      </c>
      <c r="N22">
        <v>645</v>
      </c>
      <c r="O22">
        <v>4265</v>
      </c>
      <c r="Q22">
        <v>59</v>
      </c>
      <c r="R22">
        <f t="shared" si="0"/>
        <v>0.3968150087260035</v>
      </c>
      <c r="S22">
        <f t="shared" si="1"/>
        <v>0.16361256544502617</v>
      </c>
      <c r="U22">
        <v>57</v>
      </c>
      <c r="V22">
        <f t="shared" si="2"/>
        <v>0.38829787234042551</v>
      </c>
      <c r="W22">
        <f t="shared" si="3"/>
        <v>0.15226063829787234</v>
      </c>
      <c r="Y22">
        <v>59</v>
      </c>
      <c r="Z22">
        <f t="shared" si="4"/>
        <v>0.48946246744020838</v>
      </c>
      <c r="AA22">
        <f t="shared" si="5"/>
        <v>0.21501302391664692</v>
      </c>
    </row>
    <row r="23" spans="2:27" x14ac:dyDescent="0.15">
      <c r="B23">
        <v>60</v>
      </c>
      <c r="C23">
        <v>1741</v>
      </c>
      <c r="D23">
        <v>824</v>
      </c>
      <c r="E23">
        <v>4264</v>
      </c>
      <c r="G23">
        <v>57</v>
      </c>
      <c r="H23">
        <v>1752</v>
      </c>
      <c r="I23">
        <v>687</v>
      </c>
      <c r="J23">
        <v>4512</v>
      </c>
      <c r="L23">
        <v>59</v>
      </c>
      <c r="M23">
        <v>2067</v>
      </c>
      <c r="N23">
        <v>908</v>
      </c>
      <c r="O23">
        <v>4223</v>
      </c>
      <c r="Q23">
        <v>60</v>
      </c>
      <c r="R23">
        <f t="shared" si="0"/>
        <v>0.40830206378986866</v>
      </c>
      <c r="S23">
        <f t="shared" si="1"/>
        <v>0.19324577861163228</v>
      </c>
      <c r="U23">
        <v>58</v>
      </c>
      <c r="V23">
        <f t="shared" si="2"/>
        <v>0.39839928857269896</v>
      </c>
      <c r="W23">
        <f t="shared" si="3"/>
        <v>0.15140062249888839</v>
      </c>
      <c r="Y23">
        <v>60</v>
      </c>
      <c r="Z23">
        <f t="shared" si="4"/>
        <v>0.53015797032072765</v>
      </c>
      <c r="AA23">
        <f t="shared" si="5"/>
        <v>0.20224988032551461</v>
      </c>
    </row>
    <row r="24" spans="2:27" x14ac:dyDescent="0.15">
      <c r="B24">
        <v>61</v>
      </c>
      <c r="C24">
        <v>1844</v>
      </c>
      <c r="D24">
        <v>808</v>
      </c>
      <c r="E24">
        <v>4294</v>
      </c>
      <c r="G24">
        <v>58</v>
      </c>
      <c r="H24">
        <v>1792</v>
      </c>
      <c r="I24">
        <v>681</v>
      </c>
      <c r="J24">
        <v>4498</v>
      </c>
      <c r="L24">
        <v>60</v>
      </c>
      <c r="M24">
        <v>2215</v>
      </c>
      <c r="N24">
        <v>845</v>
      </c>
      <c r="O24">
        <v>4178</v>
      </c>
      <c r="Q24">
        <v>61</v>
      </c>
      <c r="R24">
        <f t="shared" si="0"/>
        <v>0.42943642291569634</v>
      </c>
      <c r="S24">
        <f t="shared" si="1"/>
        <v>0.18816953889147647</v>
      </c>
      <c r="U24">
        <v>59</v>
      </c>
      <c r="V24">
        <f t="shared" si="2"/>
        <v>0.40950323974082076</v>
      </c>
      <c r="W24">
        <f t="shared" si="3"/>
        <v>0.15615550755939525</v>
      </c>
      <c r="Y24">
        <v>61</v>
      </c>
      <c r="Z24">
        <f t="shared" si="4"/>
        <v>0.51359999999999995</v>
      </c>
      <c r="AA24">
        <f t="shared" si="5"/>
        <v>0.26948571428571427</v>
      </c>
    </row>
    <row r="25" spans="2:27" x14ac:dyDescent="0.15">
      <c r="B25">
        <v>62</v>
      </c>
      <c r="C25">
        <v>1811</v>
      </c>
      <c r="D25">
        <v>866</v>
      </c>
      <c r="E25">
        <v>4508</v>
      </c>
      <c r="G25">
        <v>59</v>
      </c>
      <c r="H25">
        <v>1896</v>
      </c>
      <c r="I25">
        <v>723</v>
      </c>
      <c r="J25">
        <v>4630</v>
      </c>
      <c r="L25">
        <v>61</v>
      </c>
      <c r="M25">
        <v>2247</v>
      </c>
      <c r="N25">
        <v>1179</v>
      </c>
      <c r="O25">
        <v>4375</v>
      </c>
      <c r="Q25">
        <v>62</v>
      </c>
      <c r="R25">
        <f t="shared" si="0"/>
        <v>0.40173025732031942</v>
      </c>
      <c r="S25">
        <f t="shared" si="1"/>
        <v>0.19210292812777285</v>
      </c>
      <c r="U25">
        <v>60</v>
      </c>
      <c r="V25">
        <f t="shared" si="2"/>
        <v>0.39434204886412344</v>
      </c>
      <c r="W25">
        <f t="shared" si="3"/>
        <v>0.1566652378911273</v>
      </c>
      <c r="Y25">
        <v>62</v>
      </c>
      <c r="Z25">
        <f t="shared" si="4"/>
        <v>0.53176861071597914</v>
      </c>
      <c r="AA25">
        <f t="shared" si="5"/>
        <v>0.27382645803698435</v>
      </c>
    </row>
    <row r="26" spans="2:27" x14ac:dyDescent="0.15">
      <c r="B26">
        <v>63</v>
      </c>
      <c r="C26">
        <v>1919</v>
      </c>
      <c r="D26">
        <v>885</v>
      </c>
      <c r="E26">
        <v>4578</v>
      </c>
      <c r="G26">
        <v>60</v>
      </c>
      <c r="H26">
        <v>1840</v>
      </c>
      <c r="I26">
        <v>731</v>
      </c>
      <c r="J26">
        <v>4666</v>
      </c>
      <c r="L26">
        <v>62</v>
      </c>
      <c r="M26">
        <v>2243</v>
      </c>
      <c r="N26">
        <v>1155</v>
      </c>
      <c r="O26">
        <v>4218</v>
      </c>
      <c r="Q26">
        <v>63</v>
      </c>
      <c r="R26">
        <f t="shared" si="0"/>
        <v>0.41917868064657055</v>
      </c>
      <c r="S26">
        <f t="shared" si="1"/>
        <v>0.19331585845347313</v>
      </c>
      <c r="U26">
        <v>61</v>
      </c>
      <c r="V26">
        <f t="shared" si="2"/>
        <v>0.39261876717707106</v>
      </c>
      <c r="W26">
        <f t="shared" si="3"/>
        <v>0.13113466823714173</v>
      </c>
      <c r="Y26">
        <v>63</v>
      </c>
      <c r="Z26">
        <f t="shared" si="4"/>
        <v>0.52444848760518537</v>
      </c>
      <c r="AA26">
        <f t="shared" si="5"/>
        <v>0.32203775301341825</v>
      </c>
    </row>
    <row r="27" spans="2:27" x14ac:dyDescent="0.15">
      <c r="G27">
        <v>61</v>
      </c>
      <c r="H27">
        <v>2000</v>
      </c>
      <c r="I27">
        <v>668</v>
      </c>
      <c r="J27">
        <v>5094</v>
      </c>
      <c r="L27">
        <v>63</v>
      </c>
      <c r="M27">
        <v>2306</v>
      </c>
      <c r="N27">
        <v>1416</v>
      </c>
      <c r="O27">
        <v>4397</v>
      </c>
      <c r="U27">
        <v>62</v>
      </c>
      <c r="V27">
        <f t="shared" si="2"/>
        <v>0.38470611362296048</v>
      </c>
      <c r="W27">
        <f t="shared" si="3"/>
        <v>0.15510123845095342</v>
      </c>
      <c r="Y27">
        <v>64</v>
      </c>
      <c r="Z27">
        <f t="shared" si="4"/>
        <v>0.51447245564892619</v>
      </c>
      <c r="AA27">
        <f t="shared" si="5"/>
        <v>0.31932773109243695</v>
      </c>
    </row>
    <row r="28" spans="2:27" x14ac:dyDescent="0.15">
      <c r="G28">
        <v>62</v>
      </c>
      <c r="H28">
        <v>1957</v>
      </c>
      <c r="I28">
        <v>789</v>
      </c>
      <c r="J28">
        <v>5087</v>
      </c>
      <c r="L28">
        <v>64</v>
      </c>
      <c r="M28">
        <v>2204</v>
      </c>
      <c r="N28">
        <v>1368</v>
      </c>
      <c r="O28">
        <v>4284</v>
      </c>
      <c r="U28">
        <v>63</v>
      </c>
      <c r="V28">
        <f t="shared" si="2"/>
        <v>0.40024159452385744</v>
      </c>
      <c r="W28">
        <f t="shared" si="3"/>
        <v>0.16529092007247836</v>
      </c>
      <c r="Y28">
        <v>65</v>
      </c>
      <c r="Z28">
        <f t="shared" si="4"/>
        <v>0.54333333333333333</v>
      </c>
      <c r="AA28">
        <f t="shared" si="5"/>
        <v>0.19904761904761906</v>
      </c>
    </row>
    <row r="29" spans="2:27" x14ac:dyDescent="0.15">
      <c r="G29">
        <v>63</v>
      </c>
      <c r="H29">
        <v>1988</v>
      </c>
      <c r="I29">
        <v>821</v>
      </c>
      <c r="J29">
        <v>4967</v>
      </c>
      <c r="L29">
        <v>65</v>
      </c>
      <c r="M29">
        <v>2282</v>
      </c>
      <c r="N29">
        <v>836</v>
      </c>
      <c r="O29">
        <v>4200</v>
      </c>
      <c r="U29">
        <v>64</v>
      </c>
      <c r="V29">
        <f t="shared" si="2"/>
        <v>0.39907993099482464</v>
      </c>
      <c r="W29">
        <f t="shared" si="3"/>
        <v>0.13628522139160437</v>
      </c>
    </row>
    <row r="30" spans="2:27" x14ac:dyDescent="0.15">
      <c r="G30">
        <v>64</v>
      </c>
      <c r="H30">
        <v>2082</v>
      </c>
      <c r="I30">
        <v>711</v>
      </c>
      <c r="J30">
        <v>5217</v>
      </c>
      <c r="U30">
        <v>65</v>
      </c>
      <c r="V30">
        <f t="shared" si="2"/>
        <v>0.39072595971113644</v>
      </c>
      <c r="W30">
        <f t="shared" si="3"/>
        <v>0.15602432535157734</v>
      </c>
    </row>
    <row r="31" spans="2:27" x14ac:dyDescent="0.15">
      <c r="B31" s="9"/>
      <c r="C31" s="9">
        <f>C2/E2</f>
        <v>3.0897609382047813E-2</v>
      </c>
      <c r="D31" s="9">
        <f>D2/E2</f>
        <v>2.6612539467749212E-2</v>
      </c>
      <c r="E31" s="9"/>
      <c r="F31" s="9"/>
      <c r="G31" s="10">
        <v>65</v>
      </c>
      <c r="H31" s="10">
        <v>2056</v>
      </c>
      <c r="I31" s="10">
        <v>821</v>
      </c>
      <c r="J31" s="10">
        <v>5262</v>
      </c>
      <c r="K31" s="9"/>
      <c r="L31" s="9"/>
      <c r="M31" s="9"/>
      <c r="N31" s="9"/>
      <c r="O31" s="9"/>
    </row>
    <row r="32" spans="2:27" x14ac:dyDescent="0.15">
      <c r="B32" s="9"/>
      <c r="C32" s="9">
        <f t="shared" ref="C32:C95" si="6">C3/E3</f>
        <v>0.10060449050086356</v>
      </c>
      <c r="D32" s="9">
        <f t="shared" ref="D32:D55" si="7">D3/E3</f>
        <v>4.706390328151986E-2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2:15" x14ac:dyDescent="0.15">
      <c r="B33" s="9"/>
      <c r="C33" s="9">
        <f t="shared" si="6"/>
        <v>0.11562500000000001</v>
      </c>
      <c r="D33" s="9">
        <f t="shared" si="7"/>
        <v>5.6696428571428571E-2</v>
      </c>
      <c r="E33" s="9"/>
      <c r="F33" s="9"/>
      <c r="G33" s="9"/>
      <c r="H33" s="9">
        <f>H3/J3</f>
        <v>9.0284360189573462E-2</v>
      </c>
      <c r="I33" s="9">
        <f>I3/J3</f>
        <v>3.5545023696682464E-2</v>
      </c>
      <c r="J33" s="9"/>
      <c r="K33" s="9"/>
      <c r="L33" s="9"/>
      <c r="M33" s="9">
        <f>M3/O3</f>
        <v>8.4823375490623631E-2</v>
      </c>
      <c r="N33" s="9">
        <f>N3/O3</f>
        <v>4.0340165721761884E-2</v>
      </c>
      <c r="O33" s="9"/>
    </row>
    <row r="34" spans="2:15" x14ac:dyDescent="0.15">
      <c r="B34" s="9"/>
      <c r="C34" s="9">
        <f t="shared" si="6"/>
        <v>0.1419411894760115</v>
      </c>
      <c r="D34" s="9">
        <f t="shared" si="7"/>
        <v>6.0800353747512713E-2</v>
      </c>
      <c r="E34" s="9"/>
      <c r="F34" s="9"/>
      <c r="G34" s="9"/>
      <c r="H34" s="9">
        <f t="shared" ref="H34:H63" si="8">H4/J4</f>
        <v>0.11650932535113977</v>
      </c>
      <c r="I34" s="9">
        <f t="shared" ref="I34:I61" si="9">I4/J4</f>
        <v>4.8583928160257889E-2</v>
      </c>
      <c r="J34" s="9"/>
      <c r="K34" s="9"/>
      <c r="L34" s="9"/>
      <c r="M34" s="9">
        <f t="shared" ref="M34:M62" si="10">M4/O4</f>
        <v>0.11962701842165113</v>
      </c>
      <c r="N34" s="9">
        <f t="shared" ref="N34:N59" si="11">N4/O4</f>
        <v>5.3900386627245847E-2</v>
      </c>
      <c r="O34" s="9"/>
    </row>
    <row r="35" spans="2:15" x14ac:dyDescent="0.15">
      <c r="B35" s="9"/>
      <c r="C35" s="9">
        <f t="shared" si="6"/>
        <v>0.1487849610270518</v>
      </c>
      <c r="D35" s="9">
        <f t="shared" si="7"/>
        <v>7.4965612104539198E-2</v>
      </c>
      <c r="E35" s="9"/>
      <c r="F35" s="9"/>
      <c r="G35" s="9"/>
      <c r="H35" s="9">
        <f>H7/J7</f>
        <v>0.17136258660508083</v>
      </c>
      <c r="I35" s="9">
        <f>I7/J7</f>
        <v>8.1524249422632797E-2</v>
      </c>
      <c r="J35" s="9"/>
      <c r="K35" s="9"/>
      <c r="L35" s="9"/>
      <c r="M35" s="9">
        <f t="shared" si="10"/>
        <v>0.12779184895233708</v>
      </c>
      <c r="N35" s="9">
        <f t="shared" si="11"/>
        <v>5.7103384757080357E-2</v>
      </c>
      <c r="O35" s="9"/>
    </row>
    <row r="36" spans="2:15" x14ac:dyDescent="0.15">
      <c r="B36" s="9"/>
      <c r="C36" s="9">
        <f t="shared" si="6"/>
        <v>0.18201851035698546</v>
      </c>
      <c r="D36" s="9">
        <f t="shared" si="7"/>
        <v>0.10224768620537682</v>
      </c>
      <c r="E36" s="9"/>
      <c r="F36" s="9"/>
      <c r="G36" s="9"/>
      <c r="H36" s="9">
        <f>H8/J8</f>
        <v>0.19247787610619468</v>
      </c>
      <c r="I36" s="9">
        <f>I8/J8</f>
        <v>0.10110619469026548</v>
      </c>
      <c r="J36" s="9"/>
      <c r="K36" s="9"/>
      <c r="L36" s="9"/>
      <c r="M36" s="9">
        <f>M8/O8</f>
        <v>0.20102851799906499</v>
      </c>
      <c r="N36" s="9">
        <f>N8/O8</f>
        <v>0.10051425899953249</v>
      </c>
      <c r="O36" s="9"/>
    </row>
    <row r="37" spans="2:15" x14ac:dyDescent="0.15">
      <c r="B37" s="9"/>
      <c r="C37" s="9">
        <f t="shared" si="6"/>
        <v>0.19558011049723756</v>
      </c>
      <c r="D37" s="9">
        <f t="shared" si="7"/>
        <v>9.0607734806629828E-2</v>
      </c>
      <c r="E37" s="9"/>
      <c r="F37" s="9"/>
      <c r="G37" s="9"/>
      <c r="H37" s="9">
        <f>H9/J9</f>
        <v>0.21576486305945225</v>
      </c>
      <c r="I37" s="9">
        <f>I9/J9</f>
        <v>0.10866176798040525</v>
      </c>
      <c r="J37" s="9"/>
      <c r="K37" s="9"/>
      <c r="L37" s="9"/>
      <c r="M37" s="9">
        <f>M9/O9</f>
        <v>0.22703721149317005</v>
      </c>
      <c r="N37" s="9">
        <f>N9/O9</f>
        <v>0.1048045219029675</v>
      </c>
      <c r="O37" s="9"/>
    </row>
    <row r="38" spans="2:15" x14ac:dyDescent="0.15">
      <c r="B38" s="9"/>
      <c r="C38" s="9">
        <f t="shared" si="6"/>
        <v>0.23029091716633354</v>
      </c>
      <c r="D38" s="9">
        <f t="shared" si="7"/>
        <v>0.10237619364867866</v>
      </c>
      <c r="E38" s="9"/>
      <c r="F38" s="9"/>
      <c r="G38" s="9"/>
      <c r="H38" s="9">
        <f>H10/J10</f>
        <v>0.27124966693312019</v>
      </c>
      <c r="I38" s="9">
        <f>I10/J10</f>
        <v>0.12789768185451639</v>
      </c>
      <c r="J38" s="9"/>
      <c r="K38" s="9"/>
      <c r="L38" s="9"/>
      <c r="M38" s="9">
        <f>M10/O10</f>
        <v>0.24753867791842477</v>
      </c>
      <c r="N38" s="9">
        <f>N10/O10</f>
        <v>0.10900140646976091</v>
      </c>
      <c r="O38" s="9"/>
    </row>
    <row r="39" spans="2:15" x14ac:dyDescent="0.15">
      <c r="B39" s="9"/>
      <c r="C39" s="9">
        <f t="shared" si="6"/>
        <v>0.21795750514050719</v>
      </c>
      <c r="D39" s="9">
        <f t="shared" si="7"/>
        <v>0.11606122915238748</v>
      </c>
      <c r="E39" s="9"/>
      <c r="F39" s="9"/>
      <c r="G39" s="9"/>
      <c r="H39" s="9">
        <f>H11/J11</f>
        <v>0.26689604325387073</v>
      </c>
      <c r="I39" s="9">
        <f>I11/J11</f>
        <v>0.12410911771934136</v>
      </c>
      <c r="J39" s="9"/>
      <c r="K39" s="9"/>
      <c r="L39" s="9"/>
      <c r="M39" s="9">
        <f>M11/O11</f>
        <v>0.26737720111214086</v>
      </c>
      <c r="N39" s="9">
        <f>N11/O11</f>
        <v>0.12604263206672844</v>
      </c>
      <c r="O39" s="9"/>
    </row>
    <row r="40" spans="2:15" x14ac:dyDescent="0.15">
      <c r="B40" s="9"/>
      <c r="C40" s="9">
        <f t="shared" si="6"/>
        <v>0.22391304347826088</v>
      </c>
      <c r="D40" s="9">
        <f t="shared" si="7"/>
        <v>0.11195652173913044</v>
      </c>
      <c r="E40" s="9"/>
      <c r="F40" s="9"/>
      <c r="G40" s="9"/>
      <c r="H40" s="9">
        <f>H12/J12</f>
        <v>0.25204918032786883</v>
      </c>
      <c r="I40" s="9">
        <f>I12/J12</f>
        <v>0.13023679417122039</v>
      </c>
      <c r="J40" s="9"/>
      <c r="K40" s="9"/>
      <c r="L40" s="9"/>
      <c r="M40" s="9">
        <f>M12/O12</f>
        <v>0.27390560039129369</v>
      </c>
      <c r="N40" s="9">
        <f>N12/O12</f>
        <v>0.123991195891416</v>
      </c>
      <c r="O40" s="9"/>
    </row>
    <row r="41" spans="2:15" x14ac:dyDescent="0.15">
      <c r="B41" s="9"/>
      <c r="C41" s="9">
        <f t="shared" si="6"/>
        <v>0.23402868318122555</v>
      </c>
      <c r="D41" s="9">
        <f t="shared" si="7"/>
        <v>0.11951325510647545</v>
      </c>
      <c r="E41" s="9"/>
      <c r="F41" s="9"/>
      <c r="G41" s="9"/>
      <c r="H41" s="9">
        <f>H13/J13</f>
        <v>0.26412180052956752</v>
      </c>
      <c r="I41" s="9">
        <f>I13/J13</f>
        <v>0.11915269196822595</v>
      </c>
      <c r="J41" s="9"/>
      <c r="K41" s="9"/>
      <c r="L41" s="9"/>
      <c r="M41" s="9">
        <f>M13/O13</f>
        <v>0.30128050253684463</v>
      </c>
      <c r="N41" s="9">
        <f>N13/O13</f>
        <v>0.13650640251268423</v>
      </c>
      <c r="O41" s="9"/>
    </row>
    <row r="42" spans="2:15" x14ac:dyDescent="0.15">
      <c r="B42" s="9"/>
      <c r="C42" s="9">
        <f>C15/E15</f>
        <v>0.29949792621698318</v>
      </c>
      <c r="D42" s="9">
        <f>D15/E15</f>
        <v>0.14101724514298189</v>
      </c>
      <c r="E42" s="9"/>
      <c r="F42" s="9"/>
      <c r="G42" s="9"/>
      <c r="H42" s="9">
        <f>H14/J14</f>
        <v>0.27344992050874406</v>
      </c>
      <c r="I42" s="9">
        <f>I14/J14</f>
        <v>0.1190097660685896</v>
      </c>
      <c r="J42" s="9"/>
      <c r="K42" s="9"/>
      <c r="L42" s="9"/>
      <c r="M42" s="9">
        <f>M14/O14</f>
        <v>0.3005362555374213</v>
      </c>
      <c r="N42" s="9">
        <f>N14/O14</f>
        <v>0.13219864770342737</v>
      </c>
      <c r="O42" s="9"/>
    </row>
    <row r="43" spans="2:15" x14ac:dyDescent="0.15">
      <c r="B43" s="9"/>
      <c r="C43" s="9">
        <f>C16/E16</f>
        <v>0.29099956728688881</v>
      </c>
      <c r="D43" s="9">
        <f>D16/E16</f>
        <v>0.15296408481176979</v>
      </c>
      <c r="E43" s="9"/>
      <c r="F43" s="9"/>
      <c r="G43" s="9"/>
      <c r="H43" s="9">
        <f>H15/J15</f>
        <v>0.28341754708314193</v>
      </c>
      <c r="I43" s="9">
        <f>I15/J15</f>
        <v>0.13596692696371154</v>
      </c>
      <c r="J43" s="9"/>
      <c r="K43" s="9"/>
      <c r="L43" s="9"/>
      <c r="M43" s="9">
        <f>M15/O15</f>
        <v>0.32512892639474916</v>
      </c>
      <c r="N43" s="9">
        <f>N15/O15</f>
        <v>0.16104078762306612</v>
      </c>
      <c r="O43" s="9"/>
    </row>
    <row r="44" spans="2:15" x14ac:dyDescent="0.15">
      <c r="B44" s="9"/>
      <c r="C44" s="9">
        <f>C17/E17</f>
        <v>0.34450092421441775</v>
      </c>
      <c r="D44" s="9">
        <f>D17/E17</f>
        <v>0.18438077634011091</v>
      </c>
      <c r="E44" s="9"/>
      <c r="F44" s="9"/>
      <c r="G44" s="9"/>
      <c r="H44" s="9">
        <f>H16/J16</f>
        <v>0.30185652074260827</v>
      </c>
      <c r="I44" s="9">
        <f>I16/J16</f>
        <v>0.12835205134082053</v>
      </c>
      <c r="J44" s="9"/>
      <c r="K44" s="9"/>
      <c r="L44" s="9"/>
      <c r="M44" s="9">
        <f>M16/O16</f>
        <v>0.36808359059605794</v>
      </c>
      <c r="N44" s="9">
        <f>N16/O16</f>
        <v>0.14367133697459036</v>
      </c>
      <c r="O44" s="9"/>
    </row>
    <row r="45" spans="2:15" x14ac:dyDescent="0.15">
      <c r="B45" s="9"/>
      <c r="C45" s="9">
        <f>C18/E18</f>
        <v>0.34885844748858447</v>
      </c>
      <c r="D45" s="9">
        <f>D18/E18</f>
        <v>0.15936073059360731</v>
      </c>
      <c r="E45" s="9"/>
      <c r="F45" s="9"/>
      <c r="G45" s="9"/>
      <c r="H45" s="9">
        <f>H17/J17</f>
        <v>0.30509958415408184</v>
      </c>
      <c r="I45" s="9">
        <f>I17/J17</f>
        <v>0.1221273801707157</v>
      </c>
      <c r="J45" s="9"/>
      <c r="K45" s="9"/>
      <c r="L45" s="9"/>
      <c r="M45" s="9">
        <f>M17/O17</f>
        <v>0.36611374407582936</v>
      </c>
      <c r="N45" s="9">
        <f>N17/O17</f>
        <v>0.15592417061611374</v>
      </c>
      <c r="O45" s="9"/>
    </row>
    <row r="46" spans="2:15" x14ac:dyDescent="0.15">
      <c r="B46" s="9"/>
      <c r="C46" s="9">
        <f>C19/E19</f>
        <v>0.31780994336060414</v>
      </c>
      <c r="D46" s="9">
        <f>D19/E19</f>
        <v>0.16152716593245228</v>
      </c>
      <c r="E46" s="9"/>
      <c r="F46" s="9"/>
      <c r="G46" s="9"/>
      <c r="H46" s="9">
        <f>H21/J21</f>
        <v>0.30967428293631505</v>
      </c>
      <c r="I46" s="9">
        <f>I21/J21</f>
        <v>0.16212931453573165</v>
      </c>
      <c r="J46" s="9"/>
      <c r="K46" s="9"/>
      <c r="L46" s="9"/>
      <c r="M46" s="9">
        <f>M20/O20</f>
        <v>0.43300457060380082</v>
      </c>
      <c r="N46" s="9">
        <f>N20/O20</f>
        <v>0.17368294443108009</v>
      </c>
      <c r="O46" s="9"/>
    </row>
    <row r="47" spans="2:15" x14ac:dyDescent="0.15">
      <c r="B47" s="9"/>
      <c r="C47" s="9">
        <f>C20/E20</f>
        <v>0.34580673563724412</v>
      </c>
      <c r="D47" s="9">
        <f>D20/E20</f>
        <v>0.18379925159586177</v>
      </c>
      <c r="E47" s="9"/>
      <c r="F47" s="9"/>
      <c r="G47" s="9"/>
      <c r="H47" s="9">
        <f>H22/J22</f>
        <v>0.34585432890517637</v>
      </c>
      <c r="I47" s="9">
        <f>I22/J22</f>
        <v>0.1591846083371507</v>
      </c>
      <c r="J47" s="9"/>
      <c r="K47" s="9"/>
      <c r="L47" s="9"/>
      <c r="M47" s="9">
        <f>M21/O21</f>
        <v>0.473785013167345</v>
      </c>
      <c r="N47" s="9">
        <f>N21/O21</f>
        <v>0.19798898731146755</v>
      </c>
      <c r="O47" s="9"/>
    </row>
    <row r="48" spans="2:15" x14ac:dyDescent="0.15">
      <c r="B48" s="9"/>
      <c r="C48" s="9">
        <f>C21/E21</f>
        <v>0.35951134380453753</v>
      </c>
      <c r="D48" s="9">
        <f>D21/E21</f>
        <v>0.18913612565445026</v>
      </c>
      <c r="E48" s="9"/>
      <c r="F48" s="9"/>
      <c r="G48" s="9"/>
      <c r="H48" s="9">
        <f>H23/J23</f>
        <v>0.38829787234042551</v>
      </c>
      <c r="I48" s="9">
        <f>I23/J23</f>
        <v>0.15226063829787234</v>
      </c>
      <c r="J48" s="9"/>
      <c r="K48" s="9"/>
      <c r="L48" s="9"/>
      <c r="M48" s="9">
        <f>M22/O22</f>
        <v>0.48534583821805394</v>
      </c>
      <c r="N48" s="9">
        <f>N22/O22</f>
        <v>0.15123094958968347</v>
      </c>
      <c r="O48" s="9"/>
    </row>
    <row r="49" spans="2:15" x14ac:dyDescent="0.15">
      <c r="B49" s="9"/>
      <c r="C49" s="9">
        <f>C22/E22</f>
        <v>0.3968150087260035</v>
      </c>
      <c r="D49" s="9">
        <f>D22/E22</f>
        <v>0.16361256544502617</v>
      </c>
      <c r="E49" s="9"/>
      <c r="F49" s="9"/>
      <c r="G49" s="9"/>
      <c r="H49" s="9">
        <f>H24/J24</f>
        <v>0.39839928857269896</v>
      </c>
      <c r="I49" s="9">
        <f>I24/J24</f>
        <v>0.15140062249888839</v>
      </c>
      <c r="J49" s="9"/>
      <c r="K49" s="9"/>
      <c r="L49" s="9"/>
      <c r="M49" s="9">
        <f>M23/O23</f>
        <v>0.48946246744020838</v>
      </c>
      <c r="N49" s="9">
        <f>N23/O23</f>
        <v>0.21501302391664692</v>
      </c>
      <c r="O49" s="9"/>
    </row>
    <row r="50" spans="2:15" x14ac:dyDescent="0.15">
      <c r="B50" s="9"/>
      <c r="C50" s="9">
        <f>C23/E23</f>
        <v>0.40830206378986866</v>
      </c>
      <c r="D50" s="9">
        <f>D23/E23</f>
        <v>0.19324577861163228</v>
      </c>
      <c r="E50" s="9"/>
      <c r="F50" s="9"/>
      <c r="G50" s="9"/>
      <c r="H50" s="9">
        <f>H25/J25</f>
        <v>0.40950323974082076</v>
      </c>
      <c r="I50" s="9">
        <f>I25/J25</f>
        <v>0.15615550755939525</v>
      </c>
      <c r="J50" s="9"/>
      <c r="K50" s="9"/>
      <c r="L50" s="9"/>
      <c r="M50" s="9">
        <f>M24/O24</f>
        <v>0.53015797032072765</v>
      </c>
      <c r="N50" s="9">
        <f>N24/O24</f>
        <v>0.20224988032551461</v>
      </c>
      <c r="O50" s="9"/>
    </row>
    <row r="51" spans="2:15" x14ac:dyDescent="0.15">
      <c r="B51" s="9"/>
      <c r="C51" s="9">
        <f>C24/E24</f>
        <v>0.42943642291569634</v>
      </c>
      <c r="D51" s="9">
        <f>D24/E24</f>
        <v>0.18816953889147647</v>
      </c>
      <c r="E51" s="9"/>
      <c r="F51" s="9"/>
      <c r="G51" s="9"/>
      <c r="H51" s="9">
        <f>H26/J26</f>
        <v>0.39434204886412344</v>
      </c>
      <c r="I51" s="9">
        <f>I26/J26</f>
        <v>0.1566652378911273</v>
      </c>
      <c r="J51" s="9"/>
      <c r="K51" s="9"/>
      <c r="L51" s="9"/>
      <c r="M51" s="9">
        <f>M25/O25</f>
        <v>0.51359999999999995</v>
      </c>
      <c r="N51" s="9">
        <f>N25/O25</f>
        <v>0.26948571428571427</v>
      </c>
      <c r="O51" s="9"/>
    </row>
    <row r="52" spans="2:15" x14ac:dyDescent="0.15">
      <c r="B52" s="9"/>
      <c r="C52" s="9">
        <f>C25/E25</f>
        <v>0.40173025732031942</v>
      </c>
      <c r="D52" s="9">
        <f>D25/E25</f>
        <v>0.19210292812777285</v>
      </c>
      <c r="E52" s="9"/>
      <c r="F52" s="9"/>
      <c r="G52" s="9"/>
      <c r="H52" s="9">
        <f>H27/J27</f>
        <v>0.39261876717707106</v>
      </c>
      <c r="I52" s="9">
        <f>I27/J27</f>
        <v>0.13113466823714173</v>
      </c>
      <c r="J52" s="9"/>
      <c r="K52" s="9"/>
      <c r="L52" s="9"/>
      <c r="M52" s="9">
        <f>M26/O26</f>
        <v>0.53176861071597914</v>
      </c>
      <c r="N52" s="9">
        <f>N26/O26</f>
        <v>0.27382645803698435</v>
      </c>
      <c r="O52" s="9"/>
    </row>
    <row r="53" spans="2:15" x14ac:dyDescent="0.15">
      <c r="B53" s="9"/>
      <c r="C53" s="9">
        <f>C26/E26</f>
        <v>0.41917868064657055</v>
      </c>
      <c r="D53" s="9">
        <f>D26/E26</f>
        <v>0.19331585845347313</v>
      </c>
      <c r="E53" s="9"/>
      <c r="F53" s="9"/>
      <c r="G53" s="9"/>
      <c r="H53" s="9">
        <f>H28/J28</f>
        <v>0.38470611362296048</v>
      </c>
      <c r="I53" s="9">
        <f>I28/J28</f>
        <v>0.15510123845095342</v>
      </c>
      <c r="J53" s="9"/>
      <c r="K53" s="9"/>
      <c r="L53" s="9"/>
      <c r="M53" s="9">
        <f>M27/O27</f>
        <v>0.52444848760518537</v>
      </c>
      <c r="N53" s="9">
        <f>N27/O27</f>
        <v>0.32203775301341825</v>
      </c>
      <c r="O53" s="9"/>
    </row>
    <row r="54" spans="2:15" x14ac:dyDescent="0.15">
      <c r="B54" s="9"/>
      <c r="C54" s="9"/>
      <c r="D54" s="9"/>
      <c r="E54" s="9"/>
      <c r="F54" s="9"/>
      <c r="G54" s="9"/>
      <c r="H54" s="9">
        <f>H29/J29</f>
        <v>0.40024159452385744</v>
      </c>
      <c r="I54" s="9">
        <f>I29/J29</f>
        <v>0.16529092007247836</v>
      </c>
      <c r="J54" s="9"/>
      <c r="K54" s="9"/>
      <c r="L54" s="9"/>
      <c r="M54" s="9">
        <f>M28/O28</f>
        <v>0.51447245564892619</v>
      </c>
      <c r="N54" s="9">
        <f>N28/O28</f>
        <v>0.31932773109243695</v>
      </c>
      <c r="O54" s="9"/>
    </row>
    <row r="55" spans="2:15" x14ac:dyDescent="0.15">
      <c r="B55" s="9"/>
      <c r="C55" s="9"/>
      <c r="D55" s="9"/>
      <c r="E55" s="9"/>
      <c r="F55" s="9"/>
      <c r="G55" s="9"/>
      <c r="H55" s="9">
        <f>H30/J30</f>
        <v>0.39907993099482464</v>
      </c>
      <c r="I55" s="9">
        <f>I30/J30</f>
        <v>0.13628522139160437</v>
      </c>
      <c r="J55" s="9"/>
      <c r="K55" s="9"/>
      <c r="L55" s="9"/>
      <c r="M55" s="9">
        <f>M29/O29</f>
        <v>0.54333333333333333</v>
      </c>
      <c r="N55" s="9">
        <f>N29/O29</f>
        <v>0.19904761904761906</v>
      </c>
      <c r="O55" s="9"/>
    </row>
    <row r="56" spans="2:15" x14ac:dyDescent="0.15">
      <c r="B56" s="9"/>
      <c r="C56" s="9"/>
      <c r="D56" s="9"/>
      <c r="E56" s="9"/>
      <c r="F56" s="9"/>
      <c r="G56" s="9"/>
      <c r="H56" s="9">
        <f>H31/J31</f>
        <v>0.39072595971113644</v>
      </c>
      <c r="I56" s="9">
        <f>I31/J31</f>
        <v>0.15602432535157734</v>
      </c>
      <c r="J56" s="9"/>
      <c r="K56" s="9"/>
      <c r="L56" s="9"/>
      <c r="M56" s="9"/>
      <c r="N56" s="9"/>
      <c r="O56" s="9"/>
    </row>
    <row r="73" spans="2:2" x14ac:dyDescent="0.15">
      <c r="B73">
        <v>0.26850000000000002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95622-523F-1B49-A34B-56704C5360E1}">
  <dimension ref="A1"/>
  <sheetViews>
    <sheetView workbookViewId="0">
      <selection sqref="A1:N26"/>
    </sheetView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Wells</cp:lastModifiedBy>
  <dcterms:created xsi:type="dcterms:W3CDTF">2025-06-18T16:32:12Z</dcterms:created>
  <dcterms:modified xsi:type="dcterms:W3CDTF">2025-09-16T19:51:04Z</dcterms:modified>
</cp:coreProperties>
</file>